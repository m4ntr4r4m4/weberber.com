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xecutive Summary" sheetId="1" state="visible" r:id="rId2"/>
    <sheet name="P&amp;L Projection" sheetId="2" state="visible" r:id="rId3"/>
    <sheet name="Break-Even Analysis" sheetId="3" state="visible" r:id="rId4"/>
    <sheet name="Product Catalog &amp; Costs" sheetId="4" state="visible" r:id="rId5"/>
    <sheet name="Category Summary" sheetId="5" state="visible" r:id="rId6"/>
    <sheet name="Fixed Costs - Madrid" sheetId="6" state="visible" r:id="rId7"/>
    <sheet name="Transport &amp; Import" sheetId="7" state="visible" r:id="rId8"/>
    <sheet name="Initial Investment" sheetId="8" state="visible" r:id="rId9"/>
    <sheet name="Spain Tax Reference" sheetId="9" state="visible" r:id="rId10"/>
    <sheet name="Monthly Revenue Projection" sheetId="10" state="visible" r:id="rId11"/>
    <sheet name="Sales Projection by Category" sheetId="11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<sst xmlns="http://schemas.openxmlformats.org/spreadsheetml/2006/main" count="1345" uniqueCount="738">
  <si>
    <t xml:space="preserve">WEBERBER MADRID - BUSINESS PLAN</t>
  </si>
  <si>
    <t xml:space="preserve">Physical Store - Moroccan Artisan Products</t>
  </si>
  <si>
    <t xml:space="preserve">Date: April 2026</t>
  </si>
  <si>
    <t xml:space="preserve">CONCEPT</t>
  </si>
  <si>
    <t xml:space="preserve">Weberber Madrid is a retail store specializing in authentic Moroccan artisan products:</t>
  </si>
  <si>
    <t xml:space="preserve">- Brass &amp; copper hardware (hooks, knobs, towel racks - small items only)</t>
  </si>
  <si>
    <t xml:space="preserve">- Moroccan leather poufs (signature item)</t>
  </si>
  <si>
    <t xml:space="preserve">- Olive wood kitchenware (volume driver)</t>
  </si>
  <si>
    <t xml:space="preserve">- Traditional tea sets, lighting, decorative items</t>
  </si>
  <si>
    <t xml:space="preserve">REALISTIC YEAR-BY-YEAR FINANCIAL OVERVIEW</t>
  </si>
  <si>
    <t xml:space="preserve">Metric</t>
  </si>
  <si>
    <t xml:space="preserve">Year 1 (ramp-up)</t>
  </si>
  <si>
    <t xml:space="preserve">Year 2 (growth)</t>
  </si>
  <si>
    <t xml:space="preserve">Year 3 (mature)</t>
  </si>
  <si>
    <t xml:space="preserve">Annual Revenue</t>
  </si>
  <si>
    <t xml:space="preserve">Items Sold</t>
  </si>
  <si>
    <t xml:space="preserve">Avg Ticket</t>
  </si>
  <si>
    <t xml:space="preserve">Coefficient on Purchase</t>
  </si>
  <si>
    <t xml:space="preserve">Gross Margin %</t>
  </si>
  <si>
    <t xml:space="preserve">COGS + Transport + Duty</t>
  </si>
  <si>
    <t xml:space="preserve">Annual Fixed Costs (incl. marketing)</t>
  </si>
  <si>
    <t xml:space="preserve">Net Profit (before tax)</t>
  </si>
  <si>
    <t xml:space="preserve">Net Margin %</t>
  </si>
  <si>
    <t xml:space="preserve">KEY ASSUMPTIONS</t>
  </si>
  <si>
    <t xml:space="preserve">• Conservative coefficient progression (4.5 → 5.5 → 6.5) reflects buying power growth</t>
  </si>
  <si>
    <t xml:space="preserve">• Avg ticket starts at 75€ (real customer mix) and grows with brand reputation</t>
  </si>
  <si>
    <t xml:space="preserve">• Y1 = ramp-up phase with low foot traffic; Y2-Y3 = reputation + repeat customers</t>
  </si>
  <si>
    <t xml:space="preserve">• Marketing budget: 5,300€ Y1, growing with revenue to ~10K€ Y3</t>
  </si>
  <si>
    <t xml:space="preserve">• Owner-operated throughout (no employees) - ceiling on operating hours</t>
  </si>
  <si>
    <t xml:space="preserve">• Add employees in Y3 if revenue exceeds 200K€ to scale further</t>
  </si>
  <si>
    <t xml:space="preserve">STRATEGY NOTE: HIGH-TICKET BRASS EXCLUDED FROM STORE STOCK</t>
  </si>
  <si>
    <t xml:space="preserve">Faucets, sinks, showers, bathtubs (300-5000€) are excluded from physical store calculations.</t>
  </si>
  <si>
    <t xml:space="preserve">These items don't sell well as walk-in retail (designer/B2B/online channel only).</t>
  </si>
  <si>
    <t xml:space="preserve">Keeping them frees up capital and shelf space for high-turnover impulse items.</t>
  </si>
  <si>
    <t xml:space="preserve">PROFIT &amp; LOSS PROJECTION (3 YEARS)</t>
  </si>
  <si>
    <t xml:space="preserve">Year 1</t>
  </si>
  <si>
    <t xml:space="preserve">Year 2</t>
  </si>
  <si>
    <t xml:space="preserve">Year 3</t>
  </si>
  <si>
    <t xml:space="preserve">REVENUE</t>
  </si>
  <si>
    <t xml:space="preserve">Monthly avg revenue</t>
  </si>
  <si>
    <t xml:space="preserve">Growth assumption</t>
  </si>
  <si>
    <t xml:space="preserve">Ramp-up Y1</t>
  </si>
  <si>
    <t xml:space="preserve">COST OF GOODS SOLD</t>
  </si>
  <si>
    <t xml:space="preserve">COGS (purchase cost)</t>
  </si>
  <si>
    <t xml:space="preserve">Transport &amp; Import (~6-8% of revenue)</t>
  </si>
  <si>
    <t xml:space="preserve">Import Duties (est. 2%)</t>
  </si>
  <si>
    <t xml:space="preserve">Total COGS</t>
  </si>
  <si>
    <t xml:space="preserve">GROSS PROFIT</t>
  </si>
  <si>
    <t xml:space="preserve">OPEX</t>
  </si>
  <si>
    <t xml:space="preserve">OPEX per year (incl. marketing)</t>
  </si>
  <si>
    <t xml:space="preserve">OPEX growth</t>
  </si>
  <si>
    <t xml:space="preserve">Y1 base</t>
  </si>
  <si>
    <t xml:space="preserve">EBITDA</t>
  </si>
  <si>
    <t xml:space="preserve">EBITDA Margin %</t>
  </si>
  <si>
    <t xml:space="preserve">Store Fit-out Amortization</t>
  </si>
  <si>
    <t xml:space="preserve">PROFIT BEFORE TAX</t>
  </si>
  <si>
    <t xml:space="preserve">Corporate Tax (15% Y1-Y2, 25% Y3)</t>
  </si>
  <si>
    <t xml:space="preserve">NET PROFIT</t>
  </si>
  <si>
    <t xml:space="preserve">BREAK-EVEN ANALYSIS (based on real costs)</t>
  </si>
  <si>
    <t xml:space="preserve">VARIABLE COSTS PER ITEM</t>
  </si>
  <si>
    <t xml:space="preserve">Average selling price per item</t>
  </si>
  <si>
    <t xml:space="preserve">Weighted avg across all categories</t>
  </si>
  <si>
    <t xml:space="preserve">Average purchase cost (coef 7.5)</t>
  </si>
  <si>
    <t xml:space="preserve">What we pay in Morocco</t>
  </si>
  <si>
    <t xml:space="preserve">Transport cost per item (est.)</t>
  </si>
  <si>
    <t xml:space="preserve">~10,000€/year for ~2,000 items</t>
  </si>
  <si>
    <t xml:space="preserve">Import duty per item (~2%)</t>
  </si>
  <si>
    <t xml:space="preserve">EU-Morocco FTA preferential rate</t>
  </si>
  <si>
    <t xml:space="preserve">Total variable cost per item</t>
  </si>
  <si>
    <t xml:space="preserve">Purchase + transport + duty</t>
  </si>
  <si>
    <t xml:space="preserve">Contribution margin per item</t>
  </si>
  <si>
    <t xml:space="preserve">Selling price - variable costs</t>
  </si>
  <si>
    <t xml:space="preserve">Contribution margin %</t>
  </si>
  <si>
    <t xml:space="preserve">Very high thanks to direct sourcing</t>
  </si>
  <si>
    <t xml:space="preserve">FIXED COSTS (from your real data)</t>
  </si>
  <si>
    <t xml:space="preserve">Monthly fixed costs</t>
  </si>
  <si>
    <t xml:space="preserve">From Fixed Costs sheet</t>
  </si>
  <si>
    <t xml:space="preserve">Annual fixed costs</t>
  </si>
  <si>
    <t xml:space="preserve">Monthly * 12</t>
  </si>
  <si>
    <t xml:space="preserve">BREAK-EVEN CALCULATION</t>
  </si>
  <si>
    <t xml:space="preserve">Monthly units to break even</t>
  </si>
  <si>
    <t xml:space="preserve">Monthly fixed / contribution margin per unit</t>
  </si>
  <si>
    <t xml:space="preserve">Monthly revenue to break even</t>
  </si>
  <si>
    <t xml:space="preserve">Units * avg selling price</t>
  </si>
  <si>
    <t xml:space="preserve">Daily revenue to break even (26 days/mo)</t>
  </si>
  <si>
    <t xml:space="preserve">Monthly / 26 working days</t>
  </si>
  <si>
    <t xml:space="preserve">Daily units to break even</t>
  </si>
  <si>
    <t xml:space="preserve">Very achievable target</t>
  </si>
  <si>
    <t xml:space="preserve">Annual revenue to break even</t>
  </si>
  <si>
    <t xml:space="preserve">SCENARIOS</t>
  </si>
  <si>
    <t xml:space="preserve">Scenario</t>
  </si>
  <si>
    <t xml:space="preserve">Monthly Revenue</t>
  </si>
  <si>
    <t xml:space="preserve">Monthly Profit</t>
  </si>
  <si>
    <t xml:space="preserve">Annual Profit</t>
  </si>
  <si>
    <t xml:space="preserve">Pessimistic (10K/mo)</t>
  </si>
  <si>
    <t xml:space="preserve">Conservative (15K/mo)</t>
  </si>
  <si>
    <t xml:space="preserve">Target Y1 (20K/mo)</t>
  </si>
  <si>
    <t xml:space="preserve">Growth Y2 (30K/mo)</t>
  </si>
  <si>
    <t xml:space="preserve">Mature Y3 (40K/mo)</t>
  </si>
  <si>
    <t xml:space="preserve">PAYBACK PERIOD</t>
  </si>
  <si>
    <t xml:space="preserve">Initial Investment (from Investment sheet)</t>
  </si>
  <si>
    <t xml:space="preserve">Total startup cost</t>
  </si>
  <si>
    <t xml:space="preserve">Avg monthly net profit (Y1 target)</t>
  </si>
  <si>
    <t xml:space="preserve">At 20K/mo revenue scenario</t>
  </si>
  <si>
    <t xml:space="preserve">Estimated payback period (months)</t>
  </si>
  <si>
    <t xml:space="preserve">Months to recover investment</t>
  </si>
  <si>
    <t xml:space="preserve">COMPETITOR PRODUCT ANALYSIS &amp; ESTIMATED COSTS</t>
  </si>
  <si>
    <t xml:space="preserve">Category</t>
  </si>
  <si>
    <t xml:space="preserve">Product Name</t>
  </si>
  <si>
    <t xml:space="preserve">Competitor Price (USD)</t>
  </si>
  <si>
    <t xml:space="preserve">Competitor Price (EUR)</t>
  </si>
  <si>
    <t xml:space="preserve">Est. Purchase Cost (Coef 6)</t>
  </si>
  <si>
    <t xml:space="preserve">Est. Purchase Cost (Coef 7.5)</t>
  </si>
  <si>
    <t xml:space="preserve">Est. Purchase Cost (Coef 9)</t>
  </si>
  <si>
    <t xml:space="preserve">Our Selling Price (Coef 5)</t>
  </si>
  <si>
    <t xml:space="preserve">Margin (Coef 5)</t>
  </si>
  <si>
    <t xml:space="preserve">Source</t>
  </si>
  <si>
    <t xml:space="preserve">Faucets</t>
  </si>
  <si>
    <t xml:space="preserve">Unlacquered Brass Kitchen Faucet</t>
  </si>
  <si>
    <t xml:space="preserve">Brasspure</t>
  </si>
  <si>
    <t xml:space="preserve">Solid Brass Three Holes Faucet with Lever Handle</t>
  </si>
  <si>
    <t xml:space="preserve">Moroccan Copper Bridge Faucet  Kitchen Faucets</t>
  </si>
  <si>
    <t xml:space="preserve">Other Brass</t>
  </si>
  <si>
    <t xml:space="preserve">Unlacquered Brass Pot Filler</t>
  </si>
  <si>
    <t xml:space="preserve">Unlacquered Brass Bridge Faucet</t>
  </si>
  <si>
    <t xml:space="preserve">Unlacquered Brass Deck Mounted Faucet Wheel Handle</t>
  </si>
  <si>
    <t xml:space="preserve">Unlacquered Brass Vanity Faucet</t>
  </si>
  <si>
    <t xml:space="preserve">Solid Brass Bridge Faucet Nickel Matte Finish</t>
  </si>
  <si>
    <t xml:space="preserve">Unlacquered Brass Deck Mounted Sink Faucet</t>
  </si>
  <si>
    <t xml:space="preserve">Unlacquered Brass Pot Filler Kitchen Faucet</t>
  </si>
  <si>
    <t xml:space="preserve">Unlacquered Brass Bridge Kitchen Faucet</t>
  </si>
  <si>
    <t xml:space="preserve">Unlacquered Brass Ball Center Kitchen Faucet</t>
  </si>
  <si>
    <t xml:space="preserve">Unlacquered Brass Kitchen Faucet Lever Handles</t>
  </si>
  <si>
    <t xml:space="preserve">Sinks</t>
  </si>
  <si>
    <t xml:space="preserve">Moroccan Oval Vessel Sink</t>
  </si>
  <si>
    <t xml:space="preserve">Solid Engraved Copper Vessel Sink</t>
  </si>
  <si>
    <t xml:space="preserve">6" Unlacquered Brass Kitchen Faucet</t>
  </si>
  <si>
    <t xml:space="preserve">Unlacquered Brass Bathroom Sink faucet</t>
  </si>
  <si>
    <t xml:space="preserve">Unlacquered Brass Kitchen Faucet - Bridge V</t>
  </si>
  <si>
    <t xml:space="preserve">Unlacquered Brass Deck Mounted Faucet</t>
  </si>
  <si>
    <t xml:space="preserve">Unlacquered Brass Deck Mounted Bathroom Faucet Lever Handle</t>
  </si>
  <si>
    <t xml:space="preserve">Widespread Bathroom Faucet Sink</t>
  </si>
  <si>
    <t xml:space="preserve">Three Holes Bathroom Faucet</t>
  </si>
  <si>
    <t xml:space="preserve">Matte Nickel Bathroom Sink Faucet</t>
  </si>
  <si>
    <t xml:space="preserve">Unlacquered Brass Swan Bathroom Faucet</t>
  </si>
  <si>
    <t xml:space="preserve">Unlacquered Brass Deck Mounted Bathroom Faucet</t>
  </si>
  <si>
    <t xml:space="preserve">Unlacquered Brass Bathroom Sink Faucet</t>
  </si>
  <si>
    <t xml:space="preserve">Unlacquered Natural Brass Kitchen Faucet</t>
  </si>
  <si>
    <t xml:space="preserve">Wall Mounted Sink Faucet</t>
  </si>
  <si>
    <t xml:space="preserve">Showers</t>
  </si>
  <si>
    <t xml:space="preserve">Unlacquered Brass Shower</t>
  </si>
  <si>
    <t xml:space="preserve">Unlacquered Brass Kitchen Sink</t>
  </si>
  <si>
    <t xml:space="preserve">Aged Brass Kitchen Faucet With Long Legs</t>
  </si>
  <si>
    <t xml:space="preserve">Unlacuqered Brass and Copper Kitchen Faucet</t>
  </si>
  <si>
    <t xml:space="preserve">Hardware</t>
  </si>
  <si>
    <t xml:space="preserve">Unlacquered Brass Pot Rack With Tissue Holder</t>
  </si>
  <si>
    <t xml:space="preserve">Unlacquered Brass Shower System</t>
  </si>
  <si>
    <t xml:space="preserve">Unlacquered Brass Round Vessel Sink</t>
  </si>
  <si>
    <t xml:space="preserve">Unlacquered Brass Wall Mount Faucet</t>
  </si>
  <si>
    <t xml:space="preserve">Antique Brass Kitchen Faucet With Long Legs</t>
  </si>
  <si>
    <t xml:space="preserve">Hammered Brass Round Sink</t>
  </si>
  <si>
    <t xml:space="preserve">Solid Copper Vessel Sink</t>
  </si>
  <si>
    <t xml:space="preserve">Unlacquered Brass Curved Wall Mounted faucet</t>
  </si>
  <si>
    <t xml:space="preserve">Curved Wall Mount Faucet With Valve</t>
  </si>
  <si>
    <t xml:space="preserve">Curved Wall Mount Faucet</t>
  </si>
  <si>
    <t xml:space="preserve">Square Vessel Sink</t>
  </si>
  <si>
    <t xml:space="preserve">Bathroom Wall Mount Snake Faucet</t>
  </si>
  <si>
    <t xml:space="preserve">Poufs</t>
  </si>
  <si>
    <t xml:space="preserve">Embroidered Moroccan Leather Pouf- Royal Blue</t>
  </si>
  <si>
    <t xml:space="preserve">Beldinest</t>
  </si>
  <si>
    <t xml:space="preserve">Embroidered Moroccan Leather Pouf- Tan</t>
  </si>
  <si>
    <t xml:space="preserve">Embroidered Moroccan Leather Pouf- White</t>
  </si>
  <si>
    <t xml:space="preserve">Embroidered Moroccan Leather Pouf- Grey</t>
  </si>
  <si>
    <t xml:space="preserve">Embroidered Moroccan Leather Pouf- Mustard</t>
  </si>
  <si>
    <t xml:space="preserve">Embroidered Moroccan Leather Pouf- White with Turquoise Stitching</t>
  </si>
  <si>
    <t xml:space="preserve">Embroidered Moroccan Leather Pouf- Brown</t>
  </si>
  <si>
    <t xml:space="preserve">Embroidered Moroccan Leather Pouf- White with Yellow Stitching</t>
  </si>
  <si>
    <t xml:space="preserve">Embroidered Moroccan Leather Pouf- White with Black Stitching</t>
  </si>
  <si>
    <t xml:space="preserve">Embroidered Moroccan Leather Pouf- Natural</t>
  </si>
  <si>
    <t xml:space="preserve">Embroidered Moroccan Leather Pouf- Black with White Stitching</t>
  </si>
  <si>
    <t xml:space="preserve">Embroidered Moroccan Leather Pouf- Orange with Yellow Stitching</t>
  </si>
  <si>
    <t xml:space="preserve">Embroidered Moroccan Leather Pouf- Green</t>
  </si>
  <si>
    <t xml:space="preserve">Embroidered Moroccan Leather Pouf- Orange</t>
  </si>
  <si>
    <t xml:space="preserve">Embroidered Moroccan Leather Pouf- White with Orange Stitching</t>
  </si>
  <si>
    <t xml:space="preserve">Embroidered Moroccan Leather Pouf- White with Fuchsia Stitching</t>
  </si>
  <si>
    <t xml:space="preserve">Moroccan Leather Pouf- White Flower</t>
  </si>
  <si>
    <t xml:space="preserve">Embroidered Moroccan Leather Pouf- White with Grey Stitching</t>
  </si>
  <si>
    <t xml:space="preserve">Embroidered Moroccan Leather Pouf- Turquoise</t>
  </si>
  <si>
    <t xml:space="preserve">Embroidered Moroccan Leather Pouf- Black</t>
  </si>
  <si>
    <t xml:space="preserve">Embroidered Moroccan Leather Pouf- Fuchsia</t>
  </si>
  <si>
    <t xml:space="preserve">Embroidered Moroccan Ski Leather Pouf- Gold</t>
  </si>
  <si>
    <t xml:space="preserve">Embroidered Moroccan Pouf- Silver Metallic Ski Leather Pouf</t>
  </si>
  <si>
    <t xml:space="preserve">Embroidered Moroccan Leather Pouf- Burgundy</t>
  </si>
  <si>
    <t xml:space="preserve">Embroidered Moroccan Leather Pouf- Pink</t>
  </si>
  <si>
    <t xml:space="preserve">Embroidered Moroccan Leather Pouf- Red</t>
  </si>
  <si>
    <t xml:space="preserve">Embroidered Moroccan Leather Pouf- Lime Green</t>
  </si>
  <si>
    <t xml:space="preserve">Embroidered Moroccan Leather Pouf- Lavender</t>
  </si>
  <si>
    <t xml:space="preserve">Embroidered Moroccan Leather Pouf- Dark Tan</t>
  </si>
  <si>
    <t xml:space="preserve">Embroidered Moroccan Ski Leather Pouf- Bronze</t>
  </si>
  <si>
    <t xml:space="preserve">Embroidered Moroccan Leather Pouf- Purple</t>
  </si>
  <si>
    <t xml:space="preserve">Embroidered Moroccan Leather Pouf- Yellow</t>
  </si>
  <si>
    <t xml:space="preserve">Unlacquered Brass Single Hole Kitchen Faucet</t>
  </si>
  <si>
    <t xml:space="preserve">Unlacquered Brass Wall Mounted Faucet</t>
  </si>
  <si>
    <t xml:space="preserve">Tea &amp; Glass</t>
  </si>
  <si>
    <t xml:space="preserve">BeldiNest Handmade Turkish Double Boiler  Copper Teapot</t>
  </si>
  <si>
    <t xml:space="preserve">Handmade Turkish Double Boiler Tin Plated Copper Teapot</t>
  </si>
  <si>
    <t xml:space="preserve">Handmade Turkish Double Boiler Conic Tin Plated Copper Teapot Heavy gauge 1mm thick Capacity: 51 FL oz (6.35 cups)</t>
  </si>
  <si>
    <t xml:space="preserve">Hammered Copper Sink Bowl</t>
  </si>
  <si>
    <t xml:space="preserve">Brass Wall Mounted Faucet</t>
  </si>
  <si>
    <t xml:space="preserve">Engraved Wall Mounted Faucet</t>
  </si>
  <si>
    <t xml:space="preserve">Etched Brass Bathroom Sink</t>
  </si>
  <si>
    <t xml:space="preserve">Unlacquered Brass Towel Rack With hooks</t>
  </si>
  <si>
    <t xml:space="preserve">Unlacquered Brass Towel Rack</t>
  </si>
  <si>
    <t xml:space="preserve">Unlacquered Brass Oval Sink 18"</t>
  </si>
  <si>
    <t xml:space="preserve">Engraved Brass Wall Mounted Kitchen Faucet</t>
  </si>
  <si>
    <t xml:space="preserve">Sink Acc.</t>
  </si>
  <si>
    <t xml:space="preserve">Unlacquered Brass Floor Drain</t>
  </si>
  <si>
    <t xml:space="preserve">Short Reach Wall Mounted Kitchen Faucet</t>
  </si>
  <si>
    <t xml:space="preserve">Vintage Wall Mounted Kitchen Faucet</t>
  </si>
  <si>
    <t xml:space="preserve">Unlacquered Brass Wall Mount Kitchen Faucet</t>
  </si>
  <si>
    <t xml:space="preserve">Kitchen/Wood</t>
  </si>
  <si>
    <t xml:space="preserve">Hand Chiseled Arabesque Copper Pitcher</t>
  </si>
  <si>
    <t xml:space="preserve">Set of 3 Hand Made Golden Glass Globe Bowl Kitchen Canisters</t>
  </si>
  <si>
    <t xml:space="preserve">BeldiNest Hand Chiseled Honeycomb Round Copper Pitcher Heavy gauge 1 mm thick- Capacity: 73 FL oz. (9.13 cups)</t>
  </si>
  <si>
    <t xml:space="preserve">14" Hand Chiseled  Tin Plated Copper Tray</t>
  </si>
  <si>
    <t xml:space="preserve">14" Hand Chiseled Copper Tray</t>
  </si>
  <si>
    <t xml:space="preserve">Solid Copper Dome Showerhead</t>
  </si>
  <si>
    <t xml:space="preserve">Unlaquered Brass Bathroom Faucet</t>
  </si>
  <si>
    <t xml:space="preserve">Hand Hammered Copper Pitcher Heavy gauge 1 mm thick - Capacity: 64 FL</t>
  </si>
  <si>
    <t xml:space="preserve">BeldiNest Hand Chiseled Copper Jug</t>
  </si>
  <si>
    <t xml:space="preserve">Hand Chiseled Set of Three Barrel Copper Kitchen Canisters- Gold &amp; Silver</t>
  </si>
  <si>
    <t xml:space="preserve">Carafe Hand Blown Crackle Glass Decanter</t>
  </si>
  <si>
    <t xml:space="preserve">Unlacquered Brass Engraved Gooseneck Faucet</t>
  </si>
  <si>
    <t xml:space="preserve">Unlacquered Brass Ball Vase</t>
  </si>
  <si>
    <t xml:space="preserve">Engraved Copper Wall Mounted Faucet</t>
  </si>
  <si>
    <t xml:space="preserve">Unlacquered Brass Sprayer With Handle</t>
  </si>
  <si>
    <t xml:space="preserve">Unlacquered Brass Gooseneck Faucet</t>
  </si>
  <si>
    <t xml:space="preserve">Hammered Copper Ball Pendant Light</t>
  </si>
  <si>
    <t xml:space="preserve">Solid Copper Pendant Light - Hammered Copper Pendant ligh</t>
  </si>
  <si>
    <t xml:space="preserve">Unlacquered Brass Pendant Light, Round Brass Light Fixture</t>
  </si>
  <si>
    <t xml:space="preserve">Moroccan Wool Blanket: Hand-Woven, Off-White With Stripes - 118"x78</t>
  </si>
  <si>
    <t xml:space="preserve">Moroccan Wool Blanket: Hand-Woven, Off-White with Stripes - 118"x78</t>
  </si>
  <si>
    <t xml:space="preserve">Handwoven Moroccan Wool Blanket in Solid Color with Pom Poms - 118"x78</t>
  </si>
  <si>
    <t xml:space="preserve">Unlacquered Brass Bathroom Faucet</t>
  </si>
  <si>
    <t xml:space="preserve">Unlacquered Brass Bathroom Faucet with Lever Handles</t>
  </si>
  <si>
    <t xml:space="preserve">Brushed Nickel Wall Mounted Faucet</t>
  </si>
  <si>
    <t xml:space="preserve">Antique Copper Wall Mount Faucet Sink</t>
  </si>
  <si>
    <t xml:space="preserve">Hand Chiseled Set of Three, Pointed Dome Copper Kitchen Canisters- Silver</t>
  </si>
  <si>
    <t xml:space="preserve">Unlacquered Brass Cold Water</t>
  </si>
  <si>
    <t xml:space="preserve">Hammered Solid Copper Pendant Light</t>
  </si>
  <si>
    <t xml:space="preserve">Copper Gooseneck Faucet with Engraved Design</t>
  </si>
  <si>
    <t xml:space="preserve">Unlacquered Brass Cylindric Pendant Light</t>
  </si>
  <si>
    <t xml:space="preserve">Chess</t>
  </si>
  <si>
    <t xml:space="preserve">Rustic Olive Wood Chess Set</t>
  </si>
  <si>
    <t xml:space="preserve">Rustic Red Olive Wood Chess Set- Luxury Edition</t>
  </si>
  <si>
    <t xml:space="preserve">BeldiNest Olive Wood Sushi Tray Set | Sushi Serving Board</t>
  </si>
  <si>
    <t xml:space="preserve">Unlacquered Brass Glass Rinser</t>
  </si>
  <si>
    <t xml:space="preserve">Brass Gooseneck Faucet Single Hole</t>
  </si>
  <si>
    <t xml:space="preserve">Handmade Brass Wall-Mount Faucet</t>
  </si>
  <si>
    <t xml:space="preserve">Brass Bathroom Shelf</t>
  </si>
  <si>
    <t xml:space="preserve">Hand Chiseled Wide Base Arabesque Copper Moroccan Teapot- Silver Plated</t>
  </si>
  <si>
    <t xml:space="preserve">Hand Chiseled Wide Base Arabesque Copper Teapot- Gold</t>
  </si>
  <si>
    <t xml:space="preserve">Unlacquered Brass Copper Pot Rail With S Hooks</t>
  </si>
  <si>
    <t xml:space="preserve">Unlacquered Brass Adjustable ShowerHead</t>
  </si>
  <si>
    <t xml:space="preserve">Handmade Single Hole Bathroom Faucet</t>
  </si>
  <si>
    <t xml:space="preserve">Brass Toilet Paper Holder With Shelf</t>
  </si>
  <si>
    <t xml:space="preserve">Unlacquered Brass Sprayer</t>
  </si>
  <si>
    <t xml:space="preserve">Unlacquered Brass Cold Water Faucet</t>
  </si>
  <si>
    <t xml:space="preserve">Wooden Utensil Set of 5 With Utensil Holder-Including Ladle</t>
  </si>
  <si>
    <t xml:space="preserve">Crackle Glass Teapot with Hand Hammered Copper Lid</t>
  </si>
  <si>
    <t xml:space="preserve">Unlacquered Brass Square Shower Head</t>
  </si>
  <si>
    <t xml:space="preserve">Thuya Burl Wood Bread Basket &amp; Fruite Bowl - 18"</t>
  </si>
  <si>
    <t xml:space="preserve">BeldiNest Moroccan Thuya Burl Wood Salad Bowl 6.75- 9.5"</t>
  </si>
  <si>
    <t xml:space="preserve">Unlacquered Brass P-Trap</t>
  </si>
  <si>
    <t xml:space="preserve">Moroccan Handwoven Striped Cotton Throw Blanket - 118"x78</t>
  </si>
  <si>
    <t xml:space="preserve">Handwoven Moroccan Cotton Blanket with Delicate Metallic Laurex Accent - 118"x78"</t>
  </si>
  <si>
    <t xml:space="preserve">Moroccan Cotton Throw  Handwoven Blanket with Pom Poms at the End - 118"x78</t>
  </si>
  <si>
    <t xml:space="preserve">Moroccan Cotton Throw: Handwoven Blanket with End Stripes 118"x78"</t>
  </si>
  <si>
    <t xml:space="preserve">Moroccan Cotton Throw Blanket: Handwoven with Pink Borders at Both Ends - 118"x78</t>
  </si>
  <si>
    <t xml:space="preserve">Moroccan Cotton Blanket Striped-Handwoven Throw- Tatouan 118"x78"</t>
  </si>
  <si>
    <t xml:space="preserve">BeldiNest Nesting Handcrafted olive wood Bowls for Salad, Pasta, Fruit -Acai Smoothie, Snak, Nuts, Wooden Kitchen Bowl Set - Diameters: 6.5"- 5.5" - 4.5" - 3.5"- 2.5" -2"</t>
  </si>
  <si>
    <t xml:space="preserve">Unlacquered Brass Ceiling Pendant Light</t>
  </si>
  <si>
    <t xml:space="preserve">Handmade Brass Water-Tap - Copper finish</t>
  </si>
  <si>
    <t xml:space="preserve">Single Hole Wall Mounted Faucet</t>
  </si>
  <si>
    <t xml:space="preserve">Brass Bathroom Ring Towel Rack</t>
  </si>
  <si>
    <t xml:space="preserve">Rustic Olive Wood Chess Set- Small</t>
  </si>
  <si>
    <t xml:space="preserve">Wooden Utensil Set of 5 With Utensil Holder-Made from Olive Wood</t>
  </si>
  <si>
    <t xml:space="preserve">Thuya Burl Wood Oval Tray 18"X12"</t>
  </si>
  <si>
    <t xml:space="preserve">Hand Painted Tea Glasses Set- Beautiful Arabesque 6 Glass Teacups</t>
  </si>
  <si>
    <t xml:space="preserve">Hand Painted Tea Glasses Set- Beautiful Moorish 6 Glass Teacups</t>
  </si>
  <si>
    <t xml:space="preserve">Crackle Glass Sugar Bowl</t>
  </si>
  <si>
    <t xml:space="preserve">Hand Painted Tea Glasses Set- Beautiful Crown 6 Glass Teacups</t>
  </si>
  <si>
    <t xml:space="preserve">Hand Painted Tea Glasses Set- Beautiful Eton Blue Glass Teacups</t>
  </si>
  <si>
    <t xml:space="preserve">Hand Painted Tea Glasses Set- Beautiful Gold French Scroll Glass Teacups</t>
  </si>
  <si>
    <t xml:space="preserve">Hand Painted Tea Glasses Set of 6 - Beautiful Bloom Glass Teacups</t>
  </si>
  <si>
    <t xml:space="preserve">Brass Drain Push Up Sink Drain</t>
  </si>
  <si>
    <t xml:space="preserve">Unlacquered Brass Towel Hanger Bathroom</t>
  </si>
  <si>
    <t xml:space="preserve">Built In Sink Soap dispenser</t>
  </si>
  <si>
    <t xml:space="preserve">Wooden Yarn Bowl: Olive Wood Yarn Bowl</t>
  </si>
  <si>
    <t xml:space="preserve">Thuya Burl Wood Rectangular Tray 15"X9"</t>
  </si>
  <si>
    <t xml:space="preserve">Crumb Catcher Board</t>
  </si>
  <si>
    <t xml:space="preserve">BeldiNest Thuya Burl Wood Carinated Bowl 6.754</t>
  </si>
  <si>
    <t xml:space="preserve">Bathroom Toilet Paper Holder Brushed Copper</t>
  </si>
  <si>
    <t xml:space="preserve">Copper Kitchen Sink Drainer</t>
  </si>
  <si>
    <t xml:space="preserve">Large Honey Pot and Dipper Made from Olive Wood</t>
  </si>
  <si>
    <t xml:space="preserve">Set of 5 Wooden Kitchen Utensils[Spoon &amp; Fork - Set of 2 Spatulats-Ladle]</t>
  </si>
  <si>
    <t xml:space="preserve">Unlacquered Brass Wall Mount Soap Dish</t>
  </si>
  <si>
    <t xml:space="preserve">Unlacquered Brass Drain Kitchen Sink</t>
  </si>
  <si>
    <t xml:space="preserve">Raw Copper Shower Head, Antique Copper shower head</t>
  </si>
  <si>
    <t xml:space="preserve">Unlacquered Brass Wall Mount Toilet Paper Holder</t>
  </si>
  <si>
    <t xml:space="preserve">Olive Wood Kitchen Utensil Holder</t>
  </si>
  <si>
    <t xml:space="preserve">Unlacquered Brass Pedestal Bowl</t>
  </si>
  <si>
    <t xml:space="preserve">Unlaqauerd Brass Floor Drain - Square Shower Drain</t>
  </si>
  <si>
    <t xml:space="preserve">Engraved Silver Floor drain</t>
  </si>
  <si>
    <t xml:space="preserve">Wooden Bread Basket | Olive Wood Bread Basket 15”</t>
  </si>
  <si>
    <t xml:space="preserve">Solid Copper Round ShowerHead</t>
  </si>
  <si>
    <t xml:space="preserve">Unlacquered Brass Cup Pulls</t>
  </si>
  <si>
    <t xml:space="preserve">Unlacquered Brass Air Gap Cover</t>
  </si>
  <si>
    <t xml:space="preserve">Unlacquered Brass Strainer Sink</t>
  </si>
  <si>
    <t xml:space="preserve">Wooden Coaster Set- Olive Wood Rustic Holder and 8 Coasters</t>
  </si>
  <si>
    <t xml:space="preserve">Olive Wood  Pestle and Mortar - Classic Style</t>
  </si>
  <si>
    <t xml:space="preserve">BeldiNest Wooden Pestle &amp; Mortar- Rustic Body -Olive Wood Mortise, Grinding, Crushing, Spices Salts Sugar Herbs and Zests</t>
  </si>
  <si>
    <t xml:space="preserve">Olive Wood Straining Ladle</t>
  </si>
  <si>
    <t xml:space="preserve">BeldiNest Olive Wood Salt or Spice Box with Swivel Cover , Cellar, Keeper, 4"x3"</t>
  </si>
  <si>
    <t xml:space="preserve">Large Olive Wood Ladle- 16”</t>
  </si>
  <si>
    <t xml:space="preserve">Honey  Jar and Dipper Made from Olive Wood</t>
  </si>
  <si>
    <t xml:space="preserve">Wooden Utensil Set of 5- Olive Wood Spoon,Pointed Spoon,  Risotto Spoon, Spork and Spatula - 12"</t>
  </si>
  <si>
    <t xml:space="preserve">Rustic Edge Mortar and Pestle</t>
  </si>
  <si>
    <t xml:space="preserve">BeldiNest Handcrafted Olive Wood Rustic Cutting Board Chopping Boards, Wooden Board</t>
  </si>
  <si>
    <t xml:space="preserve">Hand Chiseled Copper Sugar Bowl</t>
  </si>
  <si>
    <t xml:space="preserve">Thuya Burl Wood Mortar and Olive wood Pestle 4.75"x4.5"</t>
  </si>
  <si>
    <t xml:space="preserve">Handmade Brass Cabinet Pulls</t>
  </si>
  <si>
    <t xml:space="preserve">Unlacquered Brass Knobs</t>
  </si>
  <si>
    <t xml:space="preserve">Thuya Burl Wood Plate 9.5"</t>
  </si>
  <si>
    <t xml:space="preserve">Set of 3 Thuya Burl Wood Bowls 4"</t>
  </si>
  <si>
    <t xml:space="preserve">Unlacquered Brass Handmade Coat Rack</t>
  </si>
  <si>
    <t xml:space="preserve">Handracfted Brass Hooks</t>
  </si>
  <si>
    <t xml:space="preserve">Unlacquered Brass Wall Hooks Crescent</t>
  </si>
  <si>
    <t xml:space="preserve">Unlacquered Brass Soap Holder</t>
  </si>
  <si>
    <t xml:space="preserve">Olive Wood 6 piece round Coaster Set with holder- Unique wooden coasters for drinks- handmade wooden coaster set for coffee table, dining table, bar. 3"</t>
  </si>
  <si>
    <t xml:space="preserve">Wooden Pestle and Mortar - Flat</t>
  </si>
  <si>
    <t xml:space="preserve">Hand Chiseled Arabesque Copper Small Mug</t>
  </si>
  <si>
    <t xml:space="preserve">Hand Hammered Copper Small Mug</t>
  </si>
  <si>
    <t xml:space="preserve">Olive Wood Rolling Pin: Artisan-Crafted Excellence for Pies, Pastries, Pizzas Dough, Breads, Cookies, Tarts, Flatbreads &amp; Beyond, 16-Inch Handmade</t>
  </si>
  <si>
    <t xml:space="preserve">Thuya Burl Wood Acorn Sugar Bowl 4.5"</t>
  </si>
  <si>
    <t xml:space="preserve">Olive Wood Sugar Bowl Apple Shaped Hand Carved Wooden Sugar Bowl</t>
  </si>
  <si>
    <t xml:space="preserve">Wooden Canister Set: Olive Wood Kitchen Canisters Shaped Acorn</t>
  </si>
  <si>
    <t xml:space="preserve">Wooden Sugar Bowl with Coffee Spoon - Handcrafted Olive Wood Coffee Canister</t>
  </si>
  <si>
    <t xml:space="preserve">Salad Servers Olive Wood Serving Server bigmouth spoon and spork Wooden Server Best for Salad Mixing and Serving Pasta and Fruit, Salad Server Set of 2 Kitchen Helper 12."</t>
  </si>
  <si>
    <t xml:space="preserve">Handmade Olive Wood Large Scoop 8" Wooden Bath Salt Scoop Holds about 1cup</t>
  </si>
  <si>
    <t xml:space="preserve">Wooden Salad Claws Made of Olive Wood</t>
  </si>
  <si>
    <t xml:space="preserve">BeldiNest Olive Wood  Mortar and Pestle Set, Perfect for Guacamole, Salsa, Herb Crusher, Grind and Crush Spices and Nuts to Release Flavor Create an Array of Dips, Marinades - 3" to 5"</t>
  </si>
  <si>
    <t xml:space="preserve">BeldiNest Large Olive Wood set of 2 Spoon and Strainer Wooden Big Mouth Spoons for Brewing, grilling, and Stirring - Solid Natural Hard Wood Long Spatula - 12"</t>
  </si>
  <si>
    <t xml:space="preserve">BeldiNest Organic Olive Wood  Cutting Board  - Wood Cutting Board with handle - Wooden Chopping board for Kitchen, Meat, and Cheese Charcuterie Board - Wooden Cutting Boards for Kitchen - 14"</t>
  </si>
  <si>
    <t xml:space="preserve">BeldiNest 3 Pack 3 inch Olive Wood Sauce Dishes Mini Individual Saucers Bowl Round Seasoning Dishes  Sushi Dipping Wooden Bowl Appetizer Plates</t>
  </si>
  <si>
    <t xml:space="preserve">BeldiNest Olive Wood Ladle for Cooking, Soup Spoon Ladle – Wooden  Serving Spoon, 13-12" Handle,  Scoop Size 6-2oz – Eco-Friendly, Genuine and Endurable</t>
  </si>
  <si>
    <t xml:space="preserve">Olive Wood Goblet</t>
  </si>
  <si>
    <t xml:space="preserve">BeldiNest Potato Masher Olive Wood Potato Masher Meat Tenderizer, Wooden Kitchen Utensils 8"X2.5"</t>
  </si>
  <si>
    <t xml:space="preserve">Olive Wood Wedding Goblets - Set of 2</t>
  </si>
  <si>
    <t xml:space="preserve">BeldiNest Set of Three Versatile Nested Olive Wood Bowls for All Your Culinary Needs</t>
  </si>
  <si>
    <t xml:space="preserve">BeldiNest  Olive Wood 2 Pcs Wooden Spurtle Set Food Spatulas for Flipping, Stirring, Tossing, Mixing, Scraping, and Spreading 100% Olive Wood - L12.5"</t>
  </si>
  <si>
    <t xml:space="preserve">Thuya Burl Wood Honey Jar &amp; Olive Wood Dipper</t>
  </si>
  <si>
    <t xml:space="preserve">Olive Wood Spatulas Set of 2</t>
  </si>
  <si>
    <t xml:space="preserve">Olive Wood Long  Cooking Spoon</t>
  </si>
  <si>
    <t xml:space="preserve">Olive Wood Salt and Pepper Keeper: Dual Kitchen Canister</t>
  </si>
  <si>
    <t xml:space="preserve">Olive Wood Cup: Wooden Cup for Drinking</t>
  </si>
  <si>
    <t xml:space="preserve">Olive Wood Pan Paddle Spatula</t>
  </si>
  <si>
    <t xml:space="preserve">BeldiNest Napkin Rings set of 4 Handcrafted From Olive Wood</t>
  </si>
  <si>
    <t xml:space="preserve">Pointed Blade Cooking Spatula</t>
  </si>
  <si>
    <t xml:space="preserve">BeldiNest Hand Carved Olive Wood Angular Spatulas for Baking, Cooking, Serving, Frosting Fish, Dessert, 12"</t>
  </si>
  <si>
    <t xml:space="preserve">Cocktail Forks - Handcrafted Party Snack Pickers, Hand Carved Olive Wood Set of 4 Wooden Olive Forks, Olive Pickers Cheese Forks</t>
  </si>
  <si>
    <t xml:space="preserve">Thuya Burl Wood Sugar Bowl 4.5"</t>
  </si>
  <si>
    <t xml:space="preserve">BeldiNest Olive Wood Set Of 2 Wooden Bath Salt Scoops, Great Spice Scoops Or Scooping, Grain Baking Powder, Baking Soda, Spice, Coffee, Tea And Milk Powder</t>
  </si>
  <si>
    <t xml:space="preserve">Wooden Salad Server Set- Curved Olive Wood Spoon and Spork</t>
  </si>
  <si>
    <t xml:space="preserve">Olive Wood Spoon and Fork</t>
  </si>
  <si>
    <t xml:space="preserve">BeldiNest Wooden Salad Servers Cooking Utensils - Olive Wood Spoon and Spork - 12"</t>
  </si>
  <si>
    <t xml:space="preserve">Set of 2 Wooden Spoons- Olive Wood Risotto Spoon and Cooking Spoon</t>
  </si>
  <si>
    <t xml:space="preserve">Wooden Trivet Handcrafted From Olive Wood Hexagon Shape</t>
  </si>
  <si>
    <t xml:space="preserve">BeldiNest Large Olive Wood Big Mouth Spoon  Wooden Spoons for Brewing, grilling, and Stirring - Solid Natural Hard Wood Long Spatula - 12"</t>
  </si>
  <si>
    <t xml:space="preserve">BeldiNest Olive Wood  Strainer Spoon for Cooking, Slotted Spoons, Handmade Colander Spoons, Wooden  Skimmer Spoons Great for Brewing, Grill, and Stirring - Solid Natural Olive Wood Long Spatula 12-inch</t>
  </si>
  <si>
    <t xml:space="preserve">Olive Wood  Salt Scoop Coffee Scoop</t>
  </si>
  <si>
    <t xml:space="preserve">Small Olive Wood Ladle</t>
  </si>
  <si>
    <t xml:space="preserve">Wooden Spoon: Olive Wood  Pointed Cooking Spoon 12"</t>
  </si>
  <si>
    <t xml:space="preserve">Olive Wood Risotto Spoon</t>
  </si>
  <si>
    <t xml:space="preserve">Wooden Goblet- Small Olive Wood Goblet</t>
  </si>
  <si>
    <t xml:space="preserve">Olive Wood Spatula- Serving Spatula for Pizza/Cake</t>
  </si>
  <si>
    <t xml:space="preserve">Olive Wood Cooking Spoon- 12”</t>
  </si>
  <si>
    <t xml:space="preserve">BeldiNest Wooden Spoons for Cooking, Non-Stick Cookware Utensil Tools , 12 Inch,</t>
  </si>
  <si>
    <t xml:space="preserve">Wooden Spoon: Slim Olive Wood Cooking Spoon</t>
  </si>
  <si>
    <t xml:space="preserve">Wooden Pierced Spatula</t>
  </si>
  <si>
    <t xml:space="preserve">Olive Wood Flat Spatula</t>
  </si>
  <si>
    <t xml:space="preserve">Olive Wood Cooking Spatula</t>
  </si>
  <si>
    <t xml:space="preserve">BeldiNest Olive Wood Spoon Ladle - 10.75"  Capacity 1fl oz</t>
  </si>
  <si>
    <t xml:space="preserve">BeldiNest 7-Inch Long Handle Olive wood Smoothie Spoons,  Iced Tea Spoon, Coffee Spoon, scooping Ice Cream, Yogurt, and Cocktail Stirring Spoons - Set of 2</t>
  </si>
  <si>
    <t xml:space="preserve">BeldiNest Olive Wood Spoon Scoop kitchen, bathroom, spa for Salts, Great Smoothie, Yugort  Scoops Or Scooping, Grain, Coffee, Tea, Sugar, Grain - 4.5"</t>
  </si>
  <si>
    <t xml:space="preserve">BeldiNest Wooden Citrus Reamer Lemon Hand Juicer Olive Wood Handheld Citrus Squeezers Juices citrus fruits efficiently; Juice Extractor for Daily Home Cafe Restaurant Use - 5.5 inches</t>
  </si>
  <si>
    <t xml:space="preserve">Round Trivet Handcrafted From Olive Wood</t>
  </si>
  <si>
    <t xml:space="preserve">PRODUCT CATEGORY SUMMARY</t>
  </si>
  <si>
    <t xml:space="preserve"># Products</t>
  </si>
  <si>
    <t xml:space="preserve">Avg Competitor Price (EUR)</t>
  </si>
  <si>
    <t xml:space="preserve">Est. Cost (Coef 7.5)</t>
  </si>
  <si>
    <t xml:space="preserve">Our Selling Price</t>
  </si>
  <si>
    <t xml:space="preserve">Gross Margin</t>
  </si>
  <si>
    <t xml:space="preserve">Suggested Initial Stock</t>
  </si>
  <si>
    <t xml:space="preserve">Initial Stock Investment</t>
  </si>
  <si>
    <t xml:space="preserve">Expected Monthly Revenue</t>
  </si>
  <si>
    <t xml:space="preserve">TOTAL</t>
  </si>
  <si>
    <t xml:space="preserve">FIXED COSTS - PHYSICAL STORE IN MADRID</t>
  </si>
  <si>
    <t xml:space="preserve">Cost Item</t>
  </si>
  <si>
    <t xml:space="preserve">Monthly (EUR)</t>
  </si>
  <si>
    <t xml:space="preserve">Annual (EUR)</t>
  </si>
  <si>
    <t xml:space="preserve">Notes</t>
  </si>
  <si>
    <t xml:space="preserve">RENT &amp; PREMISES</t>
  </si>
  <si>
    <t xml:space="preserve">Store Rent (60-80m2, central Madrid)</t>
  </si>
  <si>
    <t xml:space="preserve">Malasaña/Chueca/Salamanca area</t>
  </si>
  <si>
    <t xml:space="preserve">Security Deposit (2 months)</t>
  </si>
  <si>
    <t xml:space="preserve">One-time, refundable</t>
  </si>
  <si>
    <t xml:space="preserve">Store Insurance</t>
  </si>
  <si>
    <t xml:space="preserve">Civil liability + stock coverage</t>
  </si>
  <si>
    <t xml:space="preserve">Utilities (electricity, water, gas)</t>
  </si>
  <si>
    <t xml:space="preserve">Includes lighting/display</t>
  </si>
  <si>
    <t xml:space="preserve">Internet &amp; Phone</t>
  </si>
  <si>
    <t xml:space="preserve">Fiber + business line</t>
  </si>
  <si>
    <t xml:space="preserve">LABOR COSTS</t>
  </si>
  <si>
    <t xml:space="preserve">Store Manager (full-time)</t>
  </si>
  <si>
    <t xml:space="preserve">14 pays/year (Spain), gross salary</t>
  </si>
  <si>
    <t xml:space="preserve">Sales Associate (full-time)</t>
  </si>
  <si>
    <t xml:space="preserve">14 pays/year, gross salary</t>
  </si>
  <si>
    <t xml:space="preserve">Social Security - Manager (30%)</t>
  </si>
  <si>
    <t xml:space="preserve">Employer SS contribution ~30%</t>
  </si>
  <si>
    <t xml:space="preserve">Social Security - Associate (30%)</t>
  </si>
  <si>
    <t xml:space="preserve">Autónomo (owner's SS)</t>
  </si>
  <si>
    <t xml:space="preserve">Self-employed social security (min base 2026)</t>
  </si>
  <si>
    <t xml:space="preserve">TAXES &amp; LEGAL (SPAIN)</t>
  </si>
  <si>
    <t xml:space="preserve">IVA (VAT) - 21% on sales</t>
  </si>
  <si>
    <t xml:space="preserve">Variable</t>
  </si>
  <si>
    <t xml:space="preserve">21% standard rate - collected on sales, deducted on purchases</t>
  </si>
  <si>
    <t xml:space="preserve">Import Duty (Morocco to EU)</t>
  </si>
  <si>
    <t xml:space="preserve">0-6.5% depending on product (EU-Morocco FTA)</t>
  </si>
  <si>
    <t xml:space="preserve">Customs clearance fees</t>
  </si>
  <si>
    <t xml:space="preserve">Per shipment ~200-300€, est. 4-6 shipments/year</t>
  </si>
  <si>
    <t xml:space="preserve">Corporate Tax (Impuesto de Sociedades)</t>
  </si>
  <si>
    <t xml:space="preserve">25% on profits (15% first 2 years for new companies)</t>
  </si>
  <si>
    <t xml:space="preserve">Gestoría (accounting/tax filing)</t>
  </si>
  <si>
    <t xml:space="preserve">Monthly bookkeeping + quarterly VAT/tax filing</t>
  </si>
  <si>
    <t xml:space="preserve">Business License (Licencia de Apertura)</t>
  </si>
  <si>
    <t xml:space="preserve">One-time, Madrid municipality</t>
  </si>
  <si>
    <t xml:space="preserve">(Company Registration)</t>
  </si>
  <si>
    <t xml:space="preserve">One-time, notary + registration</t>
  </si>
  <si>
    <t xml:space="preserve">MARKETING &amp; OTHER</t>
  </si>
  <si>
    <t xml:space="preserve">Website &amp; E-commerce maintenance</t>
  </si>
  <si>
    <t xml:space="preserve">Hosting, updates, SEO</t>
  </si>
  <si>
    <t xml:space="preserve">Social Media &amp; Marketing</t>
  </si>
  <si>
    <t xml:space="preserve">Instagram, Google Ads, local events</t>
  </si>
  <si>
    <t xml:space="preserve">Store Design &amp; Fit-out (amortized)</t>
  </si>
  <si>
    <t xml:space="preserve">Total ~15,000€ amortized over 2.5 years</t>
  </si>
  <si>
    <t xml:space="preserve">POS System &amp; Software</t>
  </si>
  <si>
    <t xml:space="preserve">Point of sale + inventory management</t>
  </si>
  <si>
    <t xml:space="preserve">Packaging &amp; Supplies</t>
  </si>
  <si>
    <t xml:space="preserve">Bags, wrapping, business cards</t>
  </si>
  <si>
    <t xml:space="preserve">TOTAL MONTHLY FIXED COSTS</t>
  </si>
  <si>
    <t xml:space="preserve">Excludes variable costs (COGS, IVA, corporate tax)</t>
  </si>
  <si>
    <t xml:space="preserve">TRANSPORTATION &amp; IMPORT COSTS (MOROCCO → MADRID)</t>
  </si>
  <si>
    <t xml:space="preserve">Item</t>
  </si>
  <si>
    <t xml:space="preserve">Cost (EUR)</t>
  </si>
  <si>
    <t xml:space="preserve">OPTION A: PALLET FREIGHT (per shipment, ~500kg)</t>
  </si>
  <si>
    <t xml:space="preserve">Moroccan inland transport (Marrakech/Fez → Tangier)</t>
  </si>
  <si>
    <t xml:space="preserve">Truck transport to port</t>
  </si>
  <si>
    <t xml:space="preserve">Tangier → Algeciras ferry (freight)</t>
  </si>
  <si>
    <t xml:space="preserve">Ro-Ro ferry, ~1h crossing</t>
  </si>
  <si>
    <t xml:space="preserve">Algeciras → Madrid road transport</t>
  </si>
  <si>
    <t xml:space="preserve">~650km truck</t>
  </si>
  <si>
    <t xml:space="preserve">Customs broker - Morocco export</t>
  </si>
  <si>
    <t xml:space="preserve">Export documentation</t>
  </si>
  <si>
    <t xml:space="preserve">Customs broker - Spain import</t>
  </si>
  <si>
    <t xml:space="preserve">Import declaration, IVA deferral</t>
  </si>
  <si>
    <t xml:space="preserve">Phytosanitary certificate (wood items)</t>
  </si>
  <si>
    <t xml:space="preserve">Required for olive wood</t>
  </si>
  <si>
    <t xml:space="preserve">EUR.1 Certificate of Origin</t>
  </si>
  <si>
    <t xml:space="preserve">For preferential tariff treatment</t>
  </si>
  <si>
    <t xml:space="preserve">Subtotal per pallet shipment</t>
  </si>
  <si>
    <t xml:space="preserve">Before product duty</t>
  </si>
  <si>
    <t xml:space="preserve">OPTION B: 20FT CONSOLIDATED CONTAINER</t>
  </si>
  <si>
    <t xml:space="preserve">Door-to-door container Morocco → Madrid</t>
  </si>
  <si>
    <t xml:space="preserve">Includes all transport legs</t>
  </si>
  <si>
    <t xml:space="preserve">Customs &amp; documentation (all-in)</t>
  </si>
  <si>
    <t xml:space="preserve">Brokerage bundle</t>
  </si>
  <si>
    <t xml:space="preserve">Subtotal per container (20ft, ~10-15 m³)</t>
  </si>
  <si>
    <t xml:space="preserve">Better unit economics</t>
  </si>
  <si>
    <t xml:space="preserve">ANNUAL TRANSPORT BUDGET (Y1)</t>
  </si>
  <si>
    <t xml:space="preserve">Scenario A: 6 pallet shipments/year</t>
  </si>
  <si>
    <t xml:space="preserve">Frequent, smaller restocks</t>
  </si>
  <si>
    <t xml:space="preserve">Scenario B: 3 containers/year</t>
  </si>
  <si>
    <t xml:space="preserve">Larger, less frequent</t>
  </si>
  <si>
    <t xml:space="preserve">RECOMMENDED Y1 BUDGET</t>
  </si>
  <si>
    <t xml:space="preserve">Mix: 2 containers + 2 pallets</t>
  </si>
  <si>
    <t xml:space="preserve">Annual transport % of revenue</t>
  </si>
  <si>
    <t xml:space="preserve">≈4% of revenue</t>
  </si>
  <si>
    <t xml:space="preserve">IMPORT DUTY DETAILS (EU-Morocco FTA)</t>
  </si>
  <si>
    <t xml:space="preserve">Brass/copper articles (HS 7418/7419)</t>
  </si>
  <si>
    <t xml:space="preserve">0-3%</t>
  </si>
  <si>
    <t xml:space="preserve">Most qualify for 0% w/ EUR.1</t>
  </si>
  <si>
    <t xml:space="preserve">Leather goods - poufs (HS 4205)</t>
  </si>
  <si>
    <t xml:space="preserve">1.7-3%</t>
  </si>
  <si>
    <t xml:space="preserve">Reduced rate</t>
  </si>
  <si>
    <t xml:space="preserve">Wood articles (HS 4419/4420)</t>
  </si>
  <si>
    <t xml:space="preserve">Olive wood kitchenware</t>
  </si>
  <si>
    <t xml:space="preserve">Glass articles - tea glasses (HS 7013)</t>
  </si>
  <si>
    <t xml:space="preserve">0-6.5%</t>
  </si>
  <si>
    <t xml:space="preserve">Some duty applies</t>
  </si>
  <si>
    <t xml:space="preserve">Ceramic/pottery (HS 6913/6914)</t>
  </si>
  <si>
    <t xml:space="preserve">0-6%</t>
  </si>
  <si>
    <t xml:space="preserve">Decorative items</t>
  </si>
  <si>
    <t xml:space="preserve">Average effective duty rate</t>
  </si>
  <si>
    <t xml:space="preserve">~2%</t>
  </si>
  <si>
    <t xml:space="preserve">Used in P&amp;L projections</t>
  </si>
  <si>
    <t xml:space="preserve">INITIAL INVESTMENT REQUIRED</t>
  </si>
  <si>
    <t xml:space="preserve">Amount (EUR)</t>
  </si>
  <si>
    <t xml:space="preserve">LEGAL &amp; SETUP</t>
  </si>
  <si>
    <t xml:space="preserve">Company Registration (SL)</t>
  </si>
  <si>
    <t xml:space="preserve">Notary + Registro Mercantil</t>
  </si>
  <si>
    <t xml:space="preserve">Madrid municipality</t>
  </si>
  <si>
    <t xml:space="preserve">Legal fees / Lawyer</t>
  </si>
  <si>
    <t xml:space="preserve">Optional - can use gestoría package instead</t>
  </si>
  <si>
    <t xml:space="preserve">PREMISES</t>
  </si>
  <si>
    <t xml:space="preserve">Security Deposit (2 months rent)</t>
  </si>
  <si>
    <t xml:space="preserve">Refundable - 2 months of real rent</t>
  </si>
  <si>
    <t xml:space="preserve">First Month Rent</t>
  </si>
  <si>
    <t xml:space="preserve">First month rent</t>
  </si>
  <si>
    <t xml:space="preserve">Store Renovation &amp; Design</t>
  </si>
  <si>
    <t xml:space="preserve">Lean Moroccan-themed fit-out, used display units</t>
  </si>
  <si>
    <t xml:space="preserve">Signage &amp; Branding</t>
  </si>
  <si>
    <t xml:space="preserve">Exterior sign, window graphics</t>
  </si>
  <si>
    <t xml:space="preserve">Lighting &amp; Fixtures</t>
  </si>
  <si>
    <t xml:space="preserve">Spotlights, display lighting</t>
  </si>
  <si>
    <t xml:space="preserve">INVENTORY</t>
  </si>
  <si>
    <t xml:space="preserve">Initial Stock - Brass Hardware (small items)</t>
  </si>
  <si>
    <t xml:space="preserve">~30 items: hooks, knobs, towel racks, sink accessories (avg cost 22€)</t>
  </si>
  <si>
    <t xml:space="preserve">Initial Stock - Leather Poufs</t>
  </si>
  <si>
    <t xml:space="preserve">~20 poufs at ~49€ cost (coef 4.5)</t>
  </si>
  <si>
    <t xml:space="preserve">Initial Stock - Kitchen &amp; Olive Wood</t>
  </si>
  <si>
    <t xml:space="preserve">~80 items, avg cost 11€ (volume driver)</t>
  </si>
  <si>
    <t xml:space="preserve">Initial Stock - Tea, Chess &amp; Decor</t>
  </si>
  <si>
    <t xml:space="preserve">~30 items mixed (tea sets, chess, lanterns)</t>
  </si>
  <si>
    <t xml:space="preserve">First Shipment Transport</t>
  </si>
  <si>
    <t xml:space="preserve">First container/pallet from Morocco</t>
  </si>
  <si>
    <t xml:space="preserve">TECHNOLOGY &amp; EQUIPMENT</t>
  </si>
  <si>
    <t xml:space="preserve">POS System &amp; Hardware</t>
  </si>
  <si>
    <t xml:space="preserve">Tablet-based POS (Square/Sumup), card reader, receipt printer</t>
  </si>
  <si>
    <t xml:space="preserve">Security System &amp; CCTV</t>
  </si>
  <si>
    <t xml:space="preserve">Alarm + cameras</t>
  </si>
  <si>
    <t xml:space="preserve">Computer &amp; Software</t>
  </si>
  <si>
    <t xml:space="preserve">Inventory mgmt, accounting</t>
  </si>
  <si>
    <t xml:space="preserve">MARKETING LAUNCH</t>
  </si>
  <si>
    <t xml:space="preserve">Brand Identity &amp; Website Update</t>
  </si>
  <si>
    <t xml:space="preserve">Madrid-specific pages, Google Business</t>
  </si>
  <si>
    <t xml:space="preserve">Opening Campaign</t>
  </si>
  <si>
    <t xml:space="preserve">Opening event + first 2 weeks paid social</t>
  </si>
  <si>
    <t xml:space="preserve">WORKING CAPITAL</t>
  </si>
  <si>
    <t xml:space="preserve">Cash Reserve (3 months operating)</t>
  </si>
  <si>
    <t xml:space="preserve">4 months of fixed costs</t>
  </si>
  <si>
    <t xml:space="preserve">TOTAL INITIAL INVESTMENT</t>
  </si>
  <si>
    <t xml:space="preserve">SECTION TOTALS</t>
  </si>
  <si>
    <t xml:space="preserve">Legal &amp; Setup</t>
  </si>
  <si>
    <t xml:space="preserve">Premises</t>
  </si>
  <si>
    <t xml:space="preserve">Initial Inventory</t>
  </si>
  <si>
    <t xml:space="preserve">Technology &amp; Equipment</t>
  </si>
  <si>
    <t xml:space="preserve">Marketing Launch</t>
  </si>
  <si>
    <t xml:space="preserve">Working Capital</t>
  </si>
  <si>
    <t xml:space="preserve">NOTES</t>
  </si>
  <si>
    <t xml:space="preserve">• Stock revised: NO high-ticket brass (faucets/sinks/showers/bathtubs) in store</t>
  </si>
  <si>
    <t xml:space="preserve">• Inventory cost ~5,300€ vs 13,100€ in old plan — frees up ~8K€ of capital</t>
  </si>
  <si>
    <t xml:space="preserve">• Working capital = 6 months fixed costs (covers M1 loss + slow ramp-up)</t>
  </si>
  <si>
    <t xml:space="preserve">• Lean fit-out (8K) instead of premium (12K) — reuses second-hand display units</t>
  </si>
  <si>
    <t xml:space="preserve">• Total ~38-40K€ — significantly lower than initial 65K€ estimate</t>
  </si>
  <si>
    <t xml:space="preserve">SPAIN / MADRID TAX REFERENCE FOR RETAIL BUSINESS</t>
  </si>
  <si>
    <t xml:space="preserve">Tax / Obligation</t>
  </si>
  <si>
    <t xml:space="preserve">Rate / Amount</t>
  </si>
  <si>
    <t xml:space="preserve">Details</t>
  </si>
  <si>
    <t xml:space="preserve">IVA (VAT)</t>
  </si>
  <si>
    <t xml:space="preserve">21%</t>
  </si>
  <si>
    <t xml:space="preserve">Standard rate on all sales. Charged to customers, remitted quarterly (Modelo 303). Input VAT on purchases is deductible.</t>
  </si>
  <si>
    <t xml:space="preserve">IVA Reduced Rate</t>
  </si>
  <si>
    <t xml:space="preserve">10%</t>
  </si>
  <si>
    <t xml:space="preserve">Applies to some food items - may apply to olive wood kitchenware used with food (consult gestor).</t>
  </si>
  <si>
    <t xml:space="preserve">Corporate Tax (Impuesto Sociedades)</t>
  </si>
  <si>
    <t xml:space="preserve">25%</t>
  </si>
  <si>
    <t xml:space="preserve">Standard rate. NEW companies: 15% for first 2 profitable years (since 2015 reform).</t>
  </si>
  <si>
    <t xml:space="preserve">IRPF (if sole proprietor)</t>
  </si>
  <si>
    <t xml:space="preserve">19-47%</t>
  </si>
  <si>
    <t xml:space="preserve">Progressive income tax if operating as autónomo instead of SL. Quarterly payments (Modelo 130).</t>
  </si>
  <si>
    <t xml:space="preserve">Social Security - Employer</t>
  </si>
  <si>
    <t xml:space="preserve">~30%</t>
  </si>
  <si>
    <t xml:space="preserve">Employer pays ~30% on top of gross salary for each employee. Covers healthcare, pension, unemployment.</t>
  </si>
  <si>
    <t xml:space="preserve">Social Security - Autónomo</t>
  </si>
  <si>
    <t xml:space="preserve">~350€/month</t>
  </si>
  <si>
    <t xml:space="preserve">Self-employed contribution (2026 est). Base ~1,300€/month, rate ~30.6%. Flat rate 80€/month first year available.</t>
  </si>
  <si>
    <t xml:space="preserve">IAE (Business Activity Tax)</t>
  </si>
  <si>
    <t xml:space="preserve">Exempt &lt;1M€</t>
  </si>
  <si>
    <t xml:space="preserve">Exempt for businesses with turnover under 1 million euros.</t>
  </si>
  <si>
    <t xml:space="preserve">IBI (Property Tax)</t>
  </si>
  <si>
    <t xml:space="preserve">Paid by landlord</t>
  </si>
  <si>
    <t xml:space="preserve">Included in rent typically. If you own, ~0.4-1.1% of cadastral value.</t>
  </si>
  <si>
    <t xml:space="preserve">Modelo 347 (Annual)</t>
  </si>
  <si>
    <t xml:space="preserve">Reporting</t>
  </si>
  <si>
    <t xml:space="preserve">Annual declaration of operations &gt;3,005.06€ with any single party.</t>
  </si>
  <si>
    <t xml:space="preserve">Modelo 349 (Quarterly)</t>
  </si>
  <si>
    <t xml:space="preserve">Intra-EU operations reporting (if selling to other EU countries).</t>
  </si>
  <si>
    <t xml:space="preserve">Customs Duty (Morocco imports)</t>
  </si>
  <si>
    <t xml:space="preserve">EU-Morocco Association Agreement provides preferential rates. Need EUR.1 certificate.</t>
  </si>
  <si>
    <t xml:space="preserve">Withholding Tax on Rent</t>
  </si>
  <si>
    <t xml:space="preserve">19%</t>
  </si>
  <si>
    <t xml:space="preserve">Landlord may require you to withhold 19% of rent and pay to Hacienda (Modelo 115).</t>
  </si>
  <si>
    <t xml:space="preserve">MONTHLY REVENUE PROJECTION - YEAR 1 (REALISTIC)</t>
  </si>
  <si>
    <t xml:space="preserve">Conservative ramp-up - high-ticket brass excluded (B2B/online only)</t>
  </si>
  <si>
    <t xml:space="preserve">M1
(Open)</t>
  </si>
  <si>
    <t xml:space="preserve">M2</t>
  </si>
  <si>
    <t xml:space="preserve">M3</t>
  </si>
  <si>
    <t xml:space="preserve">M4</t>
  </si>
  <si>
    <t xml:space="preserve">M5</t>
  </si>
  <si>
    <t xml:space="preserve">M6
(Summer)</t>
  </si>
  <si>
    <t xml:space="preserve">M7
(Tourist Peak)</t>
  </si>
  <si>
    <t xml:space="preserve">M8</t>
  </si>
  <si>
    <t xml:space="preserve">M9</t>
  </si>
  <si>
    <t xml:space="preserve">M10</t>
  </si>
  <si>
    <t xml:space="preserve">M11
(BF)</t>
  </si>
  <si>
    <t xml:space="preserve">M12
(Xmas)</t>
  </si>
  <si>
    <t xml:space="preserve">TOTAL Y1</t>
  </si>
  <si>
    <t xml:space="preserve">Items per Day (26 days)</t>
  </si>
  <si>
    <t xml:space="preserve">Avg Ticket per Item (€)</t>
  </si>
  <si>
    <t xml:space="preserve">REVENUE (€)</t>
  </si>
  <si>
    <t xml:space="preserve">VARIABLE COSTS (Coefficient 4.5 - realistic for Y1)</t>
  </si>
  <si>
    <t xml:space="preserve">Purchase Cost (Coef 4.5)</t>
  </si>
  <si>
    <t xml:space="preserve">Transport &amp; Import (~8% of revenue)</t>
  </si>
  <si>
    <t xml:space="preserve">Import Duty (~2% of cost)</t>
  </si>
  <si>
    <t xml:space="preserve">Payment processing (1.5%)</t>
  </si>
  <si>
    <t xml:space="preserve">Total Variable Costs</t>
  </si>
  <si>
    <t xml:space="preserve">FIXED COSTS (€)</t>
  </si>
  <si>
    <t xml:space="preserve">Base Fixed Costs (from Fixed Costs sheet)</t>
  </si>
  <si>
    <t xml:space="preserve">Marketing (Recommended Budget)</t>
  </si>
  <si>
    <t xml:space="preserve">Total Fixed Costs</t>
  </si>
  <si>
    <t xml:space="preserve">NET PROFIT (before tax)</t>
  </si>
  <si>
    <t xml:space="preserve">Cumulative Net Profit</t>
  </si>
  <si>
    <t xml:space="preserve">REVISED ASSUMPTIONS (HIGH-TICKET BRASS EXCLUDED)</t>
  </si>
  <si>
    <t xml:space="preserve">• Catalog: 177 retail-friendly items (faucets/sinks/showers/bathtubs removed)</t>
  </si>
  <si>
    <t xml:space="preserve">• Avg ticket: 70€ (blended weight: kitchen wood + tea + hardware + poufs)</t>
  </si>
  <si>
    <t xml:space="preserve">• Coefficient 4.5x on purchase price (conservative for new buyer)</t>
  </si>
  <si>
    <t xml:space="preserve">• Gross margin: ~67% after transport + duty + payment processing</t>
  </si>
  <si>
    <t xml:space="preserve">• Heavy focus on high-volume items: olive wood, tea glasses, hardware</t>
  </si>
  <si>
    <t xml:space="preserve">• Poufs are the main 'statement piece' - 3-4 sales/month</t>
  </si>
  <si>
    <t xml:space="preserve">• High-ticket brass kept for online/B2B channel (not in store stock)</t>
  </si>
  <si>
    <t xml:space="preserve">WHY THIS IS MORE REALISTIC:</t>
  </si>
  <si>
    <t xml:space="preserve">• Store traffic skews heavily toward small impulse purchases</t>
  </si>
  <si>
    <t xml:space="preserve">• Faucets/sinks need designer specifications - rarely walk-in sales</t>
  </si>
  <si>
    <t xml:space="preserve">• Inventory cost much lower (no 500€ items tied up on shelves)</t>
  </si>
  <si>
    <t xml:space="preserve">GROWTH PATH:</t>
  </si>
  <si>
    <t xml:space="preserve">• Y1: ~85K€ revenue, ~30K€ profit</t>
  </si>
  <si>
    <t xml:space="preserve">• Y2: ~150K€ (+75% with reputation, repeat customers)</t>
  </si>
  <si>
    <t xml:space="preserve">• Y3: ~210K€ (+40%, mature operation, B2B online channel grows)</t>
  </si>
  <si>
    <t xml:space="preserve">SALES PROJECTION BY CATEGORY (corrected)</t>
  </si>
  <si>
    <t xml:space="preserve">Break-even uses TRUE margin (after purchase, transport, duty, payment processing)</t>
  </si>
  <si>
    <t xml:space="preserve">ASSUMPTIONS (edit here, all calcs update)</t>
  </si>
  <si>
    <t xml:space="preserve">Pricing discount vs competitor</t>
  </si>
  <si>
    <t xml:space="preserve">Coefficient on our purchase price</t>
  </si>
  <si>
    <t xml:space="preserve">Transport % of revenue</t>
  </si>
  <si>
    <t xml:space="preserve">Import duty % (on COGS)</t>
  </si>
  <si>
    <t xml:space="preserve">Payment processing % of revenue</t>
  </si>
  <si>
    <t xml:space="preserve">Monthly fixed costs (€)</t>
  </si>
  <si>
    <t xml:space="preserve">1. CATEGORY BREAKDOWN</t>
  </si>
  <si>
    <t xml:space="preserve"># Ref.</t>
  </si>
  <si>
    <t xml:space="preserve">Avg Comp.
Price (€)</t>
  </si>
  <si>
    <t xml:space="preserve">Our Price
(competitor×(1-disc))</t>
  </si>
  <si>
    <t xml:space="preserve">COGS
(price/coef)</t>
  </si>
  <si>
    <t xml:space="preserve">Transport</t>
  </si>
  <si>
    <t xml:space="preserve">Duty</t>
  </si>
  <si>
    <t xml:space="preserve">Payment</t>
  </si>
  <si>
    <t xml:space="preserve">Total Var
Cost</t>
  </si>
  <si>
    <t xml:space="preserve">TRUE Margin
per Item</t>
  </si>
  <si>
    <t xml:space="preserve">Margin %</t>
  </si>
  <si>
    <t xml:space="preserve">Items/Month
to Break Even</t>
  </si>
  <si>
    <t xml:space="preserve">% of Catalog</t>
  </si>
  <si>
    <t xml:space="preserve">Leather Poufs</t>
  </si>
  <si>
    <t xml:space="preserve">Chess Sets</t>
  </si>
  <si>
    <t xml:space="preserve">Tea Sets &amp; Glasses</t>
  </si>
  <si>
    <t xml:space="preserve">Sink Accessories</t>
  </si>
  <si>
    <t xml:space="preserve">Hardware &amp; Accessories</t>
  </si>
  <si>
    <t xml:space="preserve">Kitchen &amp; Olive Wood</t>
  </si>
  <si>
    <t xml:space="preserve">WEIGHTED AVG / TOTAL</t>
  </si>
  <si>
    <t xml:space="preserve">2. PRICE RANGE BREAKDOWN</t>
  </si>
  <si>
    <t xml:space="preserve">Price Range (€)</t>
  </si>
  <si>
    <t xml:space="preserve"># Items</t>
  </si>
  <si>
    <t xml:space="preserve">% Catalog</t>
  </si>
  <si>
    <t xml:space="preserve">Avg Price</t>
  </si>
  <si>
    <t xml:space="preserve">Our Price</t>
  </si>
  <si>
    <t xml:space="preserve">Total Var Cost</t>
  </si>
  <si>
    <t xml:space="preserve">TRUE Margin</t>
  </si>
  <si>
    <t xml:space="preserve">Items/Mo BE</t>
  </si>
  <si>
    <t xml:space="preserve">Items/Day BE</t>
  </si>
  <si>
    <t xml:space="preserve">Typical Products</t>
  </si>
  <si>
    <t xml:space="preserve">0 - 25€</t>
  </si>
  <si>
    <t xml:space="preserve">Mini scoops, sauce dishes, small wood items</t>
  </si>
  <si>
    <t xml:space="preserve">25 - 50€</t>
  </si>
  <si>
    <t xml:space="preserve">Cutting boards, hooks, knobs, coasters</t>
  </si>
  <si>
    <t xml:space="preserve">50 - 100€</t>
  </si>
  <si>
    <t xml:space="preserve">Bowls, mortars, towel racks, mid-size wood</t>
  </si>
  <si>
    <t xml:space="preserve">100 - 200€</t>
  </si>
  <si>
    <t xml:space="preserve">Tea sets, chess, decorative items</t>
  </si>
  <si>
    <t xml:space="preserve">200 - 350€</t>
  </si>
  <si>
    <t xml:space="preserve">Leather poufs, premium tea, large hardware</t>
  </si>
  <si>
    <t xml:space="preserve">3. REALISTIC MONTHLY SALES MIX</t>
  </si>
  <si>
    <t xml:space="preserve">Steady-state target month (around M6-M7 in ramp-up). Edit 'Items/Month' to test scenarios.</t>
  </si>
  <si>
    <t xml:space="preserve">Avg Comp.
Price</t>
  </si>
  <si>
    <t xml:space="preserve">TRUE Margin/
Item</t>
  </si>
  <si>
    <t xml:space="preserve">Items/Month</t>
  </si>
  <si>
    <t xml:space="preserve">Revenue/Month</t>
  </si>
  <si>
    <t xml:space="preserve">Margin Generated</t>
  </si>
  <si>
    <t xml:space="preserve">% Total Margin</t>
  </si>
  <si>
    <t xml:space="preserve">TOTAL MIX</t>
  </si>
  <si>
    <t xml:space="preserve">Total Margin from this Mix</t>
  </si>
  <si>
    <t xml:space="preserve">Monthly Fixed Costs</t>
  </si>
  <si>
    <t xml:space="preserve">Net Profit (margin - fixed)</t>
  </si>
  <si>
    <t xml:space="preserve">Avg Ticket per Item</t>
  </si>
  <si>
    <t xml:space="preserve">Avg TRUE Margin per Item</t>
  </si>
  <si>
    <t xml:space="preserve">Items Needed to Break Even</t>
  </si>
  <si>
    <t xml:space="preserve">Items/Day to Break Even (26 days)</t>
  </si>
  <si>
    <t xml:space="preserve">4. BREAK-EVEN QUICK REFERENCE</t>
  </si>
  <si>
    <t xml:space="preserve">If you sold ONLY one category at the avg price for that category:</t>
  </si>
  <si>
    <t xml:space="preserve">TRUE Margin/Item</t>
  </si>
  <si>
    <t xml:space="preserve">Items/Month BE</t>
  </si>
  <si>
    <t xml:space="preserve">Break-Even Revenue</t>
  </si>
  <si>
    <t xml:space="preserve">5. SENSITIVITY: NET PROFIT BY VOLUME (mix-weighted avg)</t>
  </si>
  <si>
    <t xml:space="preserve">Items/Day</t>
  </si>
  <si>
    <t xml:space="preserve">Revenue</t>
  </si>
  <si>
    <t xml:space="preserve">Var Costs</t>
  </si>
  <si>
    <t xml:space="preserve">Gross Profit</t>
  </si>
  <si>
    <t xml:space="preserve">Fixed</t>
  </si>
  <si>
    <t xml:space="preserve">Net Profit/Mo</t>
  </si>
  <si>
    <t xml:space="preserve">Annual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</si>
</sst>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€&quot;"/>
    <numFmt numFmtId="166" formatCode="0"/>
    <numFmt numFmtId="167" formatCode="0.0"/>
    <numFmt numFmtId="168" formatCode="0.0%"/>
    <numFmt numFmtId="169" formatCode="#,##0.00&quot; €&quot;"/>
    <numFmt numFmtId="170" formatCode="#,##0.00&quot; $&quot;"/>
    <numFmt numFmtId="171" formatCode="#,##0.00"/>
    <numFmt numFmtId="172" formatCode="0.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496"/>
      <name val="Cambria"/>
      <family val="0"/>
      <charset val="1"/>
    </font>
    <font>
      <sz val="12"/>
      <color rgb="FF666666"/>
      <name val="Cambria"/>
      <family val="0"/>
      <charset val="1"/>
    </font>
    <font>
      <sz val="10"/>
      <color rgb="FF999999"/>
      <name val="Cambria"/>
      <family val="0"/>
      <charset val="1"/>
    </font>
    <font>
      <b val="true"/>
      <sz val="14"/>
      <color rgb="FF2F5496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2F5496"/>
      <name val="Cambria"/>
      <family val="0"/>
      <charset val="1"/>
    </font>
    <font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61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2F5496"/>
      <name val="Cambria"/>
      <family val="0"/>
      <charset val="1"/>
    </font>
    <font>
      <b val="true"/>
      <sz val="16"/>
      <color rgb="FF2F5496"/>
      <name val="Cambria"/>
      <family val="0"/>
      <charset val="1"/>
    </font>
    <font>
      <sz val="10"/>
      <color rgb="FF666666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D6E4F0"/>
      </patternFill>
    </fill>
    <fill>
      <patternFill patternType="solid">
        <fgColor rgb="FFD6E4F0"/>
        <bgColor rgb="FFC6EFCE"/>
      </patternFill>
    </fill>
    <fill>
      <patternFill patternType="solid">
        <fgColor rgb="FFFFFFCC"/>
        <bgColor rgb="FFFFF2CC"/>
      </patternFill>
    </fill>
    <fill>
      <patternFill patternType="solid">
        <fgColor rgb="FFFFC7CE"/>
        <bgColor rgb="FFFFF2CC"/>
      </patternFill>
    </fill>
    <fill>
      <patternFill patternType="solid">
        <fgColor rgb="FFFFF2C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D20" activeCellId="0" sqref="D20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2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  <row r="8" customFormat="false" ht="15" hidden="false" customHeight="true" outlineLevel="0" collapsed="false">
      <c r="A8" s="1" t="s">
        <v>6</v>
      </c>
    </row>
    <row r="9" customFormat="false" ht="15" hidden="false" customHeight="true" outlineLevel="0" collapsed="false">
      <c r="A9" s="1" t="s">
        <v>7</v>
      </c>
    </row>
    <row r="10" customFormat="false" ht="15" hidden="false" customHeight="true" outlineLevel="0" collapsed="false">
      <c r="A10" s="1" t="s">
        <v>8</v>
      </c>
    </row>
    <row r="12" customFormat="false" ht="15" hidden="false" customHeight="true" outlineLevel="0" collapsed="false">
      <c r="A12" s="5" t="s">
        <v>9</v>
      </c>
      <c r="B12" s="6"/>
      <c r="C12" s="6"/>
      <c r="D12" s="6"/>
      <c r="E12" s="6"/>
    </row>
    <row r="13" customFormat="false" ht="15" hidden="false" customHeight="true" outlineLevel="0" collapsed="false">
      <c r="A13" s="7" t="s">
        <v>10</v>
      </c>
      <c r="B13" s="7" t="s">
        <v>11</v>
      </c>
      <c r="C13" s="7" t="s">
        <v>12</v>
      </c>
      <c r="D13" s="7" t="s">
        <v>13</v>
      </c>
      <c r="E13" s="6"/>
    </row>
    <row r="14" customFormat="false" ht="15" hidden="false" customHeight="true" outlineLevel="0" collapsed="false">
      <c r="A14" s="8" t="s">
        <v>14</v>
      </c>
      <c r="B14" s="9" t="n">
        <f aca="false">'Monthly Revenue Projection'!N10</f>
        <v>110450</v>
      </c>
      <c r="C14" s="9" t="n">
        <f aca="false">B14*1.75</f>
        <v>193287.5</v>
      </c>
      <c r="D14" s="9" t="n">
        <f aca="false">C14*1.4</f>
        <v>270602.5</v>
      </c>
      <c r="E14" s="6"/>
    </row>
    <row r="15" customFormat="false" ht="15" hidden="false" customHeight="true" outlineLevel="0" collapsed="false">
      <c r="A15" s="10" t="s">
        <v>15</v>
      </c>
      <c r="B15" s="11" t="n">
        <f aca="false">'Monthly Revenue Projection'!N5</f>
        <v>1275</v>
      </c>
      <c r="C15" s="11" t="n">
        <f aca="false">B15*1.6</f>
        <v>2040</v>
      </c>
      <c r="D15" s="11" t="n">
        <f aca="false">C15*1.3</f>
        <v>2652</v>
      </c>
      <c r="E15" s="6"/>
    </row>
    <row r="16" customFormat="false" ht="15" hidden="false" customHeight="true" outlineLevel="0" collapsed="false">
      <c r="A16" s="10" t="s">
        <v>16</v>
      </c>
      <c r="B16" s="12" t="n">
        <v>70</v>
      </c>
      <c r="C16" s="12" t="n">
        <v>75</v>
      </c>
      <c r="D16" s="12" t="n">
        <v>80</v>
      </c>
      <c r="E16" s="6"/>
    </row>
    <row r="17" customFormat="false" ht="15" hidden="false" customHeight="true" outlineLevel="0" collapsed="false">
      <c r="A17" s="10" t="s">
        <v>17</v>
      </c>
      <c r="B17" s="13" t="n">
        <v>4.5</v>
      </c>
      <c r="C17" s="13" t="n">
        <v>5.5</v>
      </c>
      <c r="D17" s="13" t="n">
        <v>6.5</v>
      </c>
      <c r="E17" s="6"/>
    </row>
    <row r="18" customFormat="false" ht="15" hidden="false" customHeight="true" outlineLevel="0" collapsed="false">
      <c r="A18" s="10" t="s">
        <v>18</v>
      </c>
      <c r="B18" s="14" t="n">
        <v>0.65</v>
      </c>
      <c r="C18" s="14" t="n">
        <v>0.72</v>
      </c>
      <c r="D18" s="14" t="n">
        <v>0.79</v>
      </c>
      <c r="E18" s="6"/>
    </row>
    <row r="19" customFormat="false" ht="15" hidden="false" customHeight="true" outlineLevel="0" collapsed="false">
      <c r="A19" s="10" t="s">
        <v>19</v>
      </c>
      <c r="B19" s="12" t="n">
        <f aca="false">B14*0.35</f>
        <v>38657.5</v>
      </c>
      <c r="C19" s="12" t="n">
        <f aca="false">B16*1.4</f>
        <v>98</v>
      </c>
      <c r="D19" s="12" t="n">
        <f aca="false">C16*1.25</f>
        <v>93.75</v>
      </c>
      <c r="E19" s="6"/>
    </row>
    <row r="20" customFormat="false" ht="15" hidden="false" customHeight="true" outlineLevel="0" collapsed="false">
      <c r="A20" s="10" t="s">
        <v>20</v>
      </c>
      <c r="B20" s="12" t="n">
        <f aca="false">'Fixed Costs - Madrid'!C34+'Monthly Revenue Projection'!N24</f>
        <v>56120</v>
      </c>
      <c r="C20" s="12" t="n">
        <f aca="false">B19*1.15</f>
        <v>44456.125</v>
      </c>
      <c r="D20" s="12" t="n">
        <f aca="false">C19*1.1</f>
        <v>107.8</v>
      </c>
      <c r="E20" s="6"/>
    </row>
    <row r="21" customFormat="false" ht="15" hidden="false" customHeight="true" outlineLevel="0" collapsed="false">
      <c r="A21" s="15" t="s">
        <v>21</v>
      </c>
      <c r="B21" s="16" t="n">
        <f aca="false">B14-B18-B19</f>
        <v>71791.85</v>
      </c>
      <c r="C21" s="16" t="n">
        <f aca="false">C14-C18-C19</f>
        <v>193188.78</v>
      </c>
      <c r="D21" s="16" t="n">
        <f aca="false">D14-D18-D19</f>
        <v>270507.96</v>
      </c>
      <c r="E21" s="6"/>
    </row>
    <row r="22" customFormat="false" ht="15" hidden="false" customHeight="true" outlineLevel="0" collapsed="false">
      <c r="A22" s="10" t="s">
        <v>22</v>
      </c>
      <c r="B22" s="14" t="n">
        <f aca="false">B20/B14</f>
        <v>0.508103214124038</v>
      </c>
      <c r="C22" s="14" t="n">
        <f aca="false">C20/C14</f>
        <v>0.23</v>
      </c>
      <c r="D22" s="14" t="n">
        <f aca="false">D20/D14</f>
        <v>0.000398370303304663</v>
      </c>
      <c r="E22" s="6"/>
    </row>
    <row r="23" customFormat="false" ht="15" hidden="false" customHeight="true" outlineLevel="0" collapsed="false">
      <c r="A23" s="10"/>
      <c r="B23" s="14"/>
      <c r="C23" s="14"/>
      <c r="D23" s="14"/>
      <c r="E23" s="6"/>
    </row>
    <row r="24" customFormat="false" ht="15" hidden="false" customHeight="true" outlineLevel="0" collapsed="false">
      <c r="A24" s="17" t="s">
        <v>23</v>
      </c>
      <c r="B24" s="6"/>
      <c r="C24" s="6"/>
      <c r="D24" s="6"/>
      <c r="E24" s="6"/>
    </row>
    <row r="25" customFormat="false" ht="15" hidden="false" customHeight="true" outlineLevel="0" collapsed="false">
      <c r="A25" s="18" t="s">
        <v>24</v>
      </c>
      <c r="B25" s="6"/>
      <c r="C25" s="6"/>
      <c r="D25" s="6"/>
      <c r="E25" s="6"/>
    </row>
    <row r="26" customFormat="false" ht="15" hidden="false" customHeight="true" outlineLevel="0" collapsed="false">
      <c r="A26" s="18" t="s">
        <v>25</v>
      </c>
      <c r="B26" s="6"/>
      <c r="C26" s="6"/>
      <c r="D26" s="6"/>
      <c r="E26" s="6"/>
    </row>
    <row r="27" customFormat="false" ht="15" hidden="false" customHeight="true" outlineLevel="0" collapsed="false">
      <c r="A27" s="19" t="s">
        <v>26</v>
      </c>
      <c r="B27" s="20"/>
      <c r="C27" s="20"/>
      <c r="D27" s="20"/>
      <c r="E27" s="20"/>
    </row>
    <row r="28" customFormat="false" ht="15" hidden="false" customHeight="true" outlineLevel="0" collapsed="false">
      <c r="A28" s="21" t="s">
        <v>27</v>
      </c>
      <c r="B28" s="22"/>
      <c r="C28" s="22"/>
      <c r="D28" s="22"/>
      <c r="E28" s="22"/>
    </row>
    <row r="29" customFormat="false" ht="15" hidden="false" customHeight="true" outlineLevel="0" collapsed="false">
      <c r="A29" s="18" t="s">
        <v>28</v>
      </c>
      <c r="B29" s="6"/>
      <c r="C29" s="6"/>
      <c r="D29" s="6"/>
      <c r="E29" s="6"/>
    </row>
    <row r="30" customFormat="false" ht="15" hidden="false" customHeight="true" outlineLevel="0" collapsed="false">
      <c r="A30" s="19" t="s">
        <v>29</v>
      </c>
      <c r="B30" s="20"/>
      <c r="C30" s="20"/>
      <c r="D30" s="20"/>
      <c r="E30" s="20"/>
    </row>
    <row r="31" customFormat="false" ht="15" hidden="false" customHeight="true" outlineLevel="0" collapsed="false">
      <c r="A31" s="10"/>
      <c r="B31" s="22"/>
      <c r="C31" s="22"/>
      <c r="D31" s="22"/>
      <c r="E31" s="22"/>
    </row>
    <row r="32" customFormat="false" ht="15" hidden="false" customHeight="true" outlineLevel="0" collapsed="false">
      <c r="A32" s="17" t="s">
        <v>30</v>
      </c>
      <c r="B32" s="6"/>
      <c r="C32" s="6"/>
      <c r="D32" s="6"/>
      <c r="E32" s="6"/>
    </row>
    <row r="33" customFormat="false" ht="15" hidden="false" customHeight="true" outlineLevel="0" collapsed="false">
      <c r="A33" s="18" t="s">
        <v>31</v>
      </c>
      <c r="B33" s="6"/>
      <c r="C33" s="6"/>
      <c r="D33" s="6"/>
      <c r="E33" s="6"/>
    </row>
    <row r="34" customFormat="false" ht="15" hidden="false" customHeight="true" outlineLevel="0" collapsed="false">
      <c r="A34" s="18" t="s">
        <v>32</v>
      </c>
      <c r="B34" s="6"/>
      <c r="C34" s="6"/>
      <c r="D34" s="6"/>
      <c r="E34" s="6"/>
    </row>
    <row r="35" customFormat="false" ht="15" hidden="false" customHeight="true" outlineLevel="0" collapsed="false">
      <c r="A35" s="18" t="s">
        <v>33</v>
      </c>
      <c r="B35" s="6"/>
      <c r="C35" s="6"/>
      <c r="D35" s="6"/>
      <c r="E35" s="6"/>
    </row>
    <row r="36" customFormat="false" ht="15" hidden="false" customHeight="true" outlineLevel="0" collapsed="false">
      <c r="A36" s="6"/>
      <c r="B36" s="6"/>
      <c r="C36" s="6"/>
      <c r="D36" s="6"/>
      <c r="E36" s="6"/>
    </row>
    <row r="37" customFormat="false" ht="15" hidden="false" customHeight="true" outlineLevel="0" collapsed="false">
      <c r="A37" s="6"/>
      <c r="B37" s="6"/>
      <c r="C37" s="6"/>
      <c r="D37" s="6"/>
      <c r="E37" s="6"/>
    </row>
    <row r="38" customFormat="false" ht="15" hidden="false" customHeight="true" outlineLevel="0" collapsed="false">
      <c r="A38" s="6"/>
      <c r="B38" s="6"/>
      <c r="C38" s="6"/>
      <c r="D38" s="6"/>
      <c r="E38" s="6"/>
    </row>
    <row r="39" customFormat="false" ht="15" hidden="false" customHeight="true" outlineLevel="0" collapsed="false">
      <c r="A39" s="6"/>
      <c r="B39" s="6"/>
      <c r="C39" s="6"/>
      <c r="D39" s="6"/>
      <c r="E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4" colorId="64" zoomScale="137" zoomScaleNormal="137" zoomScalePageLayoutView="100" workbookViewId="0">
      <selection pane="topLeft" activeCell="B31" activeCellId="0" sqref="B3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8"/>
  </cols>
  <sheetData>
    <row r="1" customFormat="false" ht="15" hidden="false" customHeight="true" outlineLevel="0" collapsed="false">
      <c r="A1" s="5" t="s">
        <v>34</v>
      </c>
    </row>
    <row r="3" customFormat="false" ht="15" hidden="false" customHeight="true" outlineLevel="0" collapsed="false">
      <c r="A3" s="23"/>
      <c r="B3" s="23" t="s">
        <v>35</v>
      </c>
      <c r="C3" s="23" t="s">
        <v>36</v>
      </c>
      <c r="D3" s="23" t="s">
        <v>37</v>
      </c>
    </row>
    <row r="4" customFormat="false" ht="15" hidden="false" customHeight="true" outlineLevel="0" collapsed="false">
      <c r="A4" s="24" t="s">
        <v>38</v>
      </c>
      <c r="B4" s="25"/>
      <c r="C4" s="25"/>
      <c r="D4" s="25"/>
    </row>
    <row r="5" customFormat="false" ht="15" hidden="false" customHeight="true" outlineLevel="0" collapsed="false">
      <c r="A5" s="26" t="s">
        <v>39</v>
      </c>
      <c r="B5" s="27" t="n">
        <f aca="false">'Monthly Revenue Projection'!N10/12</f>
        <v>9204.16666666667</v>
      </c>
      <c r="C5" s="27" t="n">
        <f aca="false">B5*1.75</f>
        <v>16107.2916666667</v>
      </c>
      <c r="D5" s="27" t="n">
        <f aca="false">C5*1.4</f>
        <v>22550.2083333333</v>
      </c>
    </row>
    <row r="6" customFormat="false" ht="15" hidden="false" customHeight="true" outlineLevel="0" collapsed="false">
      <c r="A6" s="26" t="s">
        <v>40</v>
      </c>
      <c r="B6" s="26" t="s">
        <v>41</v>
      </c>
      <c r="C6" s="28" t="n">
        <v>0.75</v>
      </c>
      <c r="D6" s="28" t="n">
        <v>0.4</v>
      </c>
    </row>
    <row r="7" customFormat="false" ht="15" hidden="false" customHeight="true" outlineLevel="0" collapsed="false">
      <c r="A7" s="8" t="s">
        <v>14</v>
      </c>
      <c r="B7" s="9" t="n">
        <f aca="false">'Monthly Revenue Projection'!N10</f>
        <v>110450</v>
      </c>
      <c r="C7" s="9" t="n">
        <f aca="false">B7*1.75</f>
        <v>193287.5</v>
      </c>
      <c r="D7" s="9" t="n">
        <f aca="false">C7*1.4</f>
        <v>270602.5</v>
      </c>
    </row>
    <row r="8" customFormat="false" ht="15" hidden="false" customHeight="true" outlineLevel="0" collapsed="false">
      <c r="A8" s="26"/>
      <c r="B8" s="26"/>
      <c r="C8" s="26"/>
      <c r="D8" s="26"/>
    </row>
    <row r="9" customFormat="false" ht="15" hidden="false" customHeight="true" outlineLevel="0" collapsed="false">
      <c r="A9" s="24" t="s">
        <v>42</v>
      </c>
      <c r="B9" s="25"/>
      <c r="C9" s="25"/>
      <c r="D9" s="25"/>
    </row>
    <row r="10" customFormat="false" ht="15" hidden="false" customHeight="true" outlineLevel="0" collapsed="false">
      <c r="A10" s="26" t="s">
        <v>43</v>
      </c>
      <c r="B10" s="27" t="n">
        <f aca="false">B7/4.5</f>
        <v>24544.4444444444</v>
      </c>
      <c r="C10" s="27" t="n">
        <f aca="false">C7/5.5</f>
        <v>35143.1818181818</v>
      </c>
      <c r="D10" s="27" t="n">
        <f aca="false">D7/6.5</f>
        <v>41631.1538461538</v>
      </c>
    </row>
    <row r="11" customFormat="false" ht="15" hidden="false" customHeight="true" outlineLevel="0" collapsed="false">
      <c r="A11" s="26" t="s">
        <v>44</v>
      </c>
      <c r="B11" s="27" t="n">
        <f aca="false">B7*0.08</f>
        <v>8836</v>
      </c>
      <c r="C11" s="27" t="n">
        <f aca="false">C7*0.07</f>
        <v>13530.125</v>
      </c>
      <c r="D11" s="27" t="n">
        <f aca="false">D7*0.06</f>
        <v>16236.15</v>
      </c>
    </row>
    <row r="12" customFormat="false" ht="15" hidden="false" customHeight="true" outlineLevel="0" collapsed="false">
      <c r="A12" s="26" t="s">
        <v>45</v>
      </c>
      <c r="B12" s="27" t="n">
        <f aca="false">B10*0.02</f>
        <v>490.888888888889</v>
      </c>
      <c r="C12" s="27" t="n">
        <f aca="false">C10*0.02</f>
        <v>702.863636363636</v>
      </c>
      <c r="D12" s="27" t="n">
        <f aca="false">D10*0.02</f>
        <v>832.623076923077</v>
      </c>
    </row>
    <row r="13" customFormat="false" ht="15" hidden="false" customHeight="true" outlineLevel="0" collapsed="false">
      <c r="A13" s="29" t="s">
        <v>46</v>
      </c>
      <c r="B13" s="30" t="n">
        <f aca="false">B10+B11+B12</f>
        <v>33871.3333333333</v>
      </c>
      <c r="C13" s="30" t="n">
        <f aca="false">C10+C11+C12</f>
        <v>49376.1704545455</v>
      </c>
      <c r="D13" s="30" t="n">
        <f aca="false">D10+D11+D12</f>
        <v>58699.9269230769</v>
      </c>
    </row>
    <row r="14" customFormat="false" ht="15" hidden="false" customHeight="true" outlineLevel="0" collapsed="false">
      <c r="A14" s="26"/>
      <c r="B14" s="26"/>
      <c r="C14" s="26"/>
      <c r="D14" s="26"/>
    </row>
    <row r="15" customFormat="false" ht="15" hidden="false" customHeight="true" outlineLevel="0" collapsed="false">
      <c r="A15" s="8" t="s">
        <v>47</v>
      </c>
      <c r="B15" s="9" t="n">
        <f aca="false">B7-B13</f>
        <v>76578.6666666667</v>
      </c>
      <c r="C15" s="9" t="n">
        <f aca="false">C7-C13</f>
        <v>143911.329545455</v>
      </c>
      <c r="D15" s="9" t="n">
        <f aca="false">D7-D13</f>
        <v>211902.573076923</v>
      </c>
    </row>
    <row r="16" customFormat="false" ht="15" hidden="false" customHeight="true" outlineLevel="0" collapsed="false">
      <c r="A16" s="26" t="s">
        <v>18</v>
      </c>
      <c r="B16" s="28" t="n">
        <f aca="false">B15/B7</f>
        <v>0.693333333333333</v>
      </c>
      <c r="C16" s="28" t="n">
        <f aca="false">C15/C7</f>
        <v>0.744545454545454</v>
      </c>
      <c r="D16" s="28" t="n">
        <f aca="false">D15/D7</f>
        <v>0.783076923076923</v>
      </c>
    </row>
    <row r="17" customFormat="false" ht="15" hidden="false" customHeight="true" outlineLevel="0" collapsed="false">
      <c r="A17" s="26"/>
      <c r="B17" s="26"/>
      <c r="C17" s="26"/>
      <c r="D17" s="26"/>
    </row>
    <row r="18" customFormat="false" ht="15" hidden="false" customHeight="true" outlineLevel="0" collapsed="false">
      <c r="A18" s="24" t="s">
        <v>48</v>
      </c>
      <c r="B18" s="25"/>
      <c r="C18" s="25"/>
      <c r="D18" s="25"/>
    </row>
    <row r="19" customFormat="false" ht="15" hidden="false" customHeight="true" outlineLevel="0" collapsed="false">
      <c r="A19" s="26" t="s">
        <v>49</v>
      </c>
      <c r="B19" s="27" t="n">
        <f aca="false">'Fixed Costs - Madrid'!C34+'Monthly Revenue Projection'!N24</f>
        <v>56120</v>
      </c>
      <c r="C19" s="27" t="n">
        <f aca="false">B19*1.15</f>
        <v>64538</v>
      </c>
      <c r="D19" s="27" t="n">
        <f aca="false">C19*1.1</f>
        <v>70991.8</v>
      </c>
    </row>
    <row r="20" customFormat="false" ht="15" hidden="false" customHeight="true" outlineLevel="0" collapsed="false">
      <c r="A20" s="26" t="s">
        <v>50</v>
      </c>
      <c r="B20" s="31" t="s">
        <v>51</v>
      </c>
      <c r="C20" s="28" t="n">
        <v>0.15</v>
      </c>
      <c r="D20" s="28" t="n">
        <v>0.1</v>
      </c>
    </row>
    <row r="21" customFormat="false" ht="15" hidden="false" customHeight="true" outlineLevel="0" collapsed="false">
      <c r="A21" s="8" t="s">
        <v>52</v>
      </c>
      <c r="B21" s="9" t="n">
        <f aca="false">B15-B19</f>
        <v>20458.6666666667</v>
      </c>
      <c r="C21" s="9" t="n">
        <f aca="false">C15-C19</f>
        <v>79373.3295454545</v>
      </c>
      <c r="D21" s="9" t="n">
        <f aca="false">D15-D19</f>
        <v>140910.773076923</v>
      </c>
    </row>
    <row r="22" customFormat="false" ht="15" hidden="false" customHeight="true" outlineLevel="0" collapsed="false">
      <c r="A22" s="26" t="s">
        <v>53</v>
      </c>
      <c r="B22" s="28" t="n">
        <f aca="false">B21/B7</f>
        <v>0.185230119209295</v>
      </c>
      <c r="C22" s="28" t="n">
        <f aca="false">C21/C7</f>
        <v>0.410649056692515</v>
      </c>
      <c r="D22" s="28" t="n">
        <f aca="false">D21/D7</f>
        <v>0.520729753335328</v>
      </c>
    </row>
    <row r="23" customFormat="false" ht="15" hidden="false" customHeight="true" outlineLevel="0" collapsed="false">
      <c r="A23" s="26"/>
      <c r="B23" s="26"/>
      <c r="C23" s="26"/>
      <c r="D23" s="26"/>
    </row>
    <row r="24" customFormat="false" ht="15" hidden="false" customHeight="true" outlineLevel="0" collapsed="false">
      <c r="A24" s="26" t="s">
        <v>54</v>
      </c>
      <c r="B24" s="27" t="n">
        <v>6000</v>
      </c>
      <c r="C24" s="27" t="n">
        <v>6000</v>
      </c>
      <c r="D24" s="27" t="n">
        <v>3000</v>
      </c>
    </row>
    <row r="25" customFormat="false" ht="15" hidden="false" customHeight="true" outlineLevel="0" collapsed="false">
      <c r="A25" s="26"/>
      <c r="B25" s="26"/>
      <c r="C25" s="26"/>
      <c r="D25" s="26"/>
    </row>
    <row r="26" customFormat="false" ht="15" hidden="false" customHeight="true" outlineLevel="0" collapsed="false">
      <c r="A26" s="8" t="s">
        <v>55</v>
      </c>
      <c r="B26" s="9" t="n">
        <f aca="false">B21-B24</f>
        <v>14458.6666666667</v>
      </c>
      <c r="C26" s="9" t="n">
        <f aca="false">C21-C24</f>
        <v>73373.3295454545</v>
      </c>
      <c r="D26" s="9" t="n">
        <f aca="false">D21-D24</f>
        <v>137910.773076923</v>
      </c>
    </row>
    <row r="27" customFormat="false" ht="15" hidden="false" customHeight="true" outlineLevel="0" collapsed="false">
      <c r="A27" s="26" t="s">
        <v>56</v>
      </c>
      <c r="B27" s="27" t="n">
        <f aca="false">B26*0.15</f>
        <v>2168.8</v>
      </c>
      <c r="C27" s="27" t="n">
        <f aca="false">C26*0.15</f>
        <v>11005.9994318182</v>
      </c>
      <c r="D27" s="27" t="n">
        <f aca="false">D26*0.25</f>
        <v>34477.6932692308</v>
      </c>
    </row>
    <row r="28" customFormat="false" ht="15" hidden="false" customHeight="true" outlineLevel="0" collapsed="false">
      <c r="A28" s="26"/>
      <c r="B28" s="26"/>
      <c r="C28" s="26"/>
      <c r="D28" s="26"/>
    </row>
    <row r="29" customFormat="false" ht="15" hidden="false" customHeight="true" outlineLevel="0" collapsed="false">
      <c r="A29" s="15" t="s">
        <v>57</v>
      </c>
      <c r="B29" s="32" t="n">
        <f aca="false">B26-B27</f>
        <v>12289.8666666667</v>
      </c>
      <c r="C29" s="32" t="n">
        <f aca="false">C26-C27</f>
        <v>62367.3301136364</v>
      </c>
      <c r="D29" s="32" t="n">
        <f aca="false">D26-D27</f>
        <v>103433.079807692</v>
      </c>
    </row>
    <row r="30" customFormat="false" ht="15" hidden="false" customHeight="true" outlineLevel="0" collapsed="false">
      <c r="A30" s="26" t="s">
        <v>22</v>
      </c>
      <c r="B30" s="28" t="n">
        <f aca="false">B29/B7</f>
        <v>0.111270861626679</v>
      </c>
      <c r="C30" s="28" t="n">
        <f aca="false">C29/C7</f>
        <v>0.322666132645082</v>
      </c>
      <c r="D30" s="28" t="n">
        <f aca="false">D29/D7</f>
        <v>0.382232535943653</v>
      </c>
    </row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F10" activeCellId="0" sqref="F10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44.99"/>
    <col collapsed="false" customWidth="true" hidden="false" outlineLevel="0" max="3" min="2" style="1" width="25"/>
    <col collapsed="false" customWidth="true" hidden="false" outlineLevel="0" max="4" min="4" style="1" width="44.99"/>
  </cols>
  <sheetData>
    <row r="1" customFormat="false" ht="15" hidden="false" customHeight="true" outlineLevel="0" collapsed="false">
      <c r="A1" s="5" t="s">
        <v>58</v>
      </c>
      <c r="B1" s="6"/>
      <c r="C1" s="6"/>
      <c r="D1" s="6"/>
    </row>
    <row r="2" customFormat="false" ht="15" hidden="false" customHeight="true" outlineLevel="0" collapsed="false">
      <c r="A2" s="6"/>
      <c r="B2" s="6"/>
      <c r="C2" s="6"/>
      <c r="D2" s="6"/>
    </row>
    <row r="3" customFormat="false" ht="15" hidden="false" customHeight="true" outlineLevel="0" collapsed="false">
      <c r="A3" s="33" t="s">
        <v>59</v>
      </c>
      <c r="B3" s="34"/>
      <c r="C3" s="34"/>
      <c r="D3" s="34"/>
    </row>
    <row r="4" customFormat="false" ht="15" hidden="false" customHeight="true" outlineLevel="0" collapsed="false">
      <c r="A4" s="10" t="s">
        <v>60</v>
      </c>
      <c r="B4" s="22" t="n">
        <v>120</v>
      </c>
      <c r="C4" s="10"/>
      <c r="D4" s="10" t="s">
        <v>61</v>
      </c>
    </row>
    <row r="5" customFormat="false" ht="15" hidden="false" customHeight="true" outlineLevel="0" collapsed="false">
      <c r="A5" s="10" t="s">
        <v>62</v>
      </c>
      <c r="B5" s="22" t="n">
        <f aca="false">B4/7.5</f>
        <v>16</v>
      </c>
      <c r="C5" s="10"/>
      <c r="D5" s="10" t="s">
        <v>63</v>
      </c>
    </row>
    <row r="6" customFormat="false" ht="15" hidden="false" customHeight="true" outlineLevel="0" collapsed="false">
      <c r="A6" s="10" t="s">
        <v>64</v>
      </c>
      <c r="B6" s="22" t="n">
        <v>5</v>
      </c>
      <c r="C6" s="10"/>
      <c r="D6" s="10" t="s">
        <v>65</v>
      </c>
    </row>
    <row r="7" customFormat="false" ht="15" hidden="false" customHeight="true" outlineLevel="0" collapsed="false">
      <c r="A7" s="10" t="s">
        <v>66</v>
      </c>
      <c r="B7" s="22" t="n">
        <f aca="false">B5*0.02</f>
        <v>0.32</v>
      </c>
      <c r="C7" s="10"/>
      <c r="D7" s="10" t="s">
        <v>67</v>
      </c>
    </row>
    <row r="8" customFormat="false" ht="15" hidden="false" customHeight="true" outlineLevel="0" collapsed="false">
      <c r="A8" s="10" t="s">
        <v>68</v>
      </c>
      <c r="B8" s="22" t="n">
        <f aca="false">B5+B6+B7</f>
        <v>21.32</v>
      </c>
      <c r="C8" s="10"/>
      <c r="D8" s="10" t="s">
        <v>69</v>
      </c>
    </row>
    <row r="9" customFormat="false" ht="15" hidden="false" customHeight="true" outlineLevel="0" collapsed="false">
      <c r="A9" s="10" t="s">
        <v>70</v>
      </c>
      <c r="B9" s="35" t="n">
        <f aca="false">B4-B8</f>
        <v>98.68</v>
      </c>
      <c r="C9" s="10"/>
      <c r="D9" s="10" t="s">
        <v>71</v>
      </c>
    </row>
    <row r="10" customFormat="false" ht="15" hidden="false" customHeight="true" outlineLevel="0" collapsed="false">
      <c r="A10" s="10" t="s">
        <v>72</v>
      </c>
      <c r="B10" s="36" t="n">
        <f aca="false">B9/B4</f>
        <v>0.822333333333333</v>
      </c>
      <c r="C10" s="10"/>
      <c r="D10" s="10" t="s">
        <v>73</v>
      </c>
    </row>
    <row r="11" customFormat="false" ht="15" hidden="false" customHeight="true" outlineLevel="0" collapsed="false">
      <c r="A11" s="10"/>
      <c r="B11" s="10"/>
      <c r="C11" s="10"/>
      <c r="D11" s="6"/>
    </row>
    <row r="12" customFormat="false" ht="15" hidden="false" customHeight="true" outlineLevel="0" collapsed="false">
      <c r="A12" s="24" t="s">
        <v>74</v>
      </c>
      <c r="B12" s="37"/>
      <c r="C12" s="37"/>
      <c r="D12" s="34"/>
    </row>
    <row r="13" customFormat="false" ht="15" hidden="false" customHeight="true" outlineLevel="0" collapsed="false">
      <c r="A13" s="10" t="s">
        <v>75</v>
      </c>
      <c r="B13" s="22" t="n">
        <f aca="false">'Fixed Costs - Madrid'!B34</f>
        <v>4035</v>
      </c>
      <c r="C13" s="10"/>
      <c r="D13" s="10" t="s">
        <v>76</v>
      </c>
    </row>
    <row r="14" customFormat="false" ht="15" hidden="false" customHeight="true" outlineLevel="0" collapsed="false">
      <c r="A14" s="10" t="s">
        <v>77</v>
      </c>
      <c r="B14" s="22" t="n">
        <f aca="false">'Fixed Costs - Madrid'!C34</f>
        <v>49820</v>
      </c>
      <c r="C14" s="10"/>
      <c r="D14" s="10" t="s">
        <v>78</v>
      </c>
    </row>
    <row r="15" customFormat="false" ht="15" hidden="false" customHeight="true" outlineLevel="0" collapsed="false">
      <c r="A15" s="10"/>
      <c r="B15" s="10"/>
      <c r="C15" s="10"/>
      <c r="D15" s="6"/>
    </row>
    <row r="16" customFormat="false" ht="15" hidden="false" customHeight="true" outlineLevel="0" collapsed="false">
      <c r="A16" s="24" t="s">
        <v>79</v>
      </c>
      <c r="B16" s="37"/>
      <c r="C16" s="37"/>
      <c r="D16" s="34"/>
    </row>
    <row r="17" customFormat="false" ht="15" hidden="false" customHeight="true" outlineLevel="0" collapsed="false">
      <c r="A17" s="10" t="s">
        <v>80</v>
      </c>
      <c r="B17" s="13" t="n">
        <f aca="false">B13/B9</f>
        <v>40.8897446291042</v>
      </c>
      <c r="C17" s="10"/>
      <c r="D17" s="10" t="s">
        <v>81</v>
      </c>
    </row>
    <row r="18" customFormat="false" ht="15" hidden="false" customHeight="true" outlineLevel="0" collapsed="false">
      <c r="A18" s="10" t="s">
        <v>82</v>
      </c>
      <c r="B18" s="22" t="n">
        <f aca="false">B17*B4</f>
        <v>4906.7693554925</v>
      </c>
      <c r="C18" s="10"/>
      <c r="D18" s="10" t="s">
        <v>83</v>
      </c>
    </row>
    <row r="19" customFormat="false" ht="15" hidden="false" customHeight="true" outlineLevel="0" collapsed="false">
      <c r="A19" s="38" t="s">
        <v>84</v>
      </c>
      <c r="B19" s="39" t="n">
        <f aca="false">B17/26</f>
        <v>1.57268248573478</v>
      </c>
      <c r="C19" s="38"/>
      <c r="D19" s="38" t="s">
        <v>85</v>
      </c>
    </row>
    <row r="20" customFormat="false" ht="15" hidden="false" customHeight="true" outlineLevel="0" collapsed="false">
      <c r="A20" s="38" t="s">
        <v>86</v>
      </c>
      <c r="B20" s="40" t="n">
        <f aca="false">B15/26</f>
        <v>0</v>
      </c>
      <c r="C20" s="38"/>
      <c r="D20" s="38" t="s">
        <v>87</v>
      </c>
    </row>
    <row r="21" customFormat="false" ht="15" hidden="false" customHeight="true" outlineLevel="0" collapsed="false">
      <c r="A21" s="10" t="s">
        <v>88</v>
      </c>
      <c r="B21" s="22" t="n">
        <f aca="false">B15*12</f>
        <v>0</v>
      </c>
      <c r="C21" s="10"/>
      <c r="D21" s="10" t="s">
        <v>78</v>
      </c>
    </row>
    <row r="22" customFormat="false" ht="15" hidden="false" customHeight="true" outlineLevel="0" collapsed="false">
      <c r="A22" s="10"/>
      <c r="B22" s="10"/>
      <c r="C22" s="10"/>
      <c r="D22" s="6"/>
    </row>
    <row r="23" customFormat="false" ht="15" hidden="false" customHeight="true" outlineLevel="0" collapsed="false">
      <c r="A23" s="24" t="s">
        <v>89</v>
      </c>
      <c r="B23" s="37"/>
      <c r="C23" s="37"/>
      <c r="D23" s="34"/>
    </row>
    <row r="24" customFormat="false" ht="15" hidden="false" customHeight="true" outlineLevel="0" collapsed="false">
      <c r="A24" s="23" t="s">
        <v>90</v>
      </c>
      <c r="B24" s="23" t="s">
        <v>91</v>
      </c>
      <c r="C24" s="23" t="s">
        <v>92</v>
      </c>
      <c r="D24" s="23" t="s">
        <v>93</v>
      </c>
    </row>
    <row r="25" customFormat="false" ht="15" hidden="false" customHeight="true" outlineLevel="0" collapsed="false">
      <c r="A25" s="10" t="s">
        <v>94</v>
      </c>
      <c r="B25" s="22" t="n">
        <v>10000</v>
      </c>
      <c r="C25" s="22" t="n">
        <f aca="false">B25-(B25/7.5)-(B25*0.04)-'Fixed Costs - Madrid'!B34</f>
        <v>4231.66666666667</v>
      </c>
      <c r="D25" s="22" t="n">
        <f aca="false">C25*12</f>
        <v>50780</v>
      </c>
    </row>
    <row r="26" customFormat="false" ht="15" hidden="false" customHeight="true" outlineLevel="0" collapsed="false">
      <c r="A26" s="10" t="s">
        <v>95</v>
      </c>
      <c r="B26" s="22" t="n">
        <v>15000</v>
      </c>
      <c r="C26" s="22" t="n">
        <f aca="false">B26-(B26/7.5)-(B26*0.04)-'Fixed Costs - Madrid'!B34</f>
        <v>8365</v>
      </c>
      <c r="D26" s="22" t="n">
        <f aca="false">C26*12</f>
        <v>100380</v>
      </c>
    </row>
    <row r="27" customFormat="false" ht="15" hidden="false" customHeight="true" outlineLevel="0" collapsed="false">
      <c r="A27" s="10" t="s">
        <v>96</v>
      </c>
      <c r="B27" s="22" t="n">
        <v>20000</v>
      </c>
      <c r="C27" s="22" t="n">
        <f aca="false">B27-(B27/7.5)-(B27*0.04)-'Fixed Costs - Madrid'!B34</f>
        <v>12498.3333333333</v>
      </c>
      <c r="D27" s="22" t="n">
        <f aca="false">C27*12</f>
        <v>149980</v>
      </c>
    </row>
    <row r="28" customFormat="false" ht="15" hidden="false" customHeight="true" outlineLevel="0" collapsed="false">
      <c r="A28" s="10" t="s">
        <v>97</v>
      </c>
      <c r="B28" s="22" t="n">
        <v>30000</v>
      </c>
      <c r="C28" s="22" t="n">
        <f aca="false">B28-(B28/7.5)-(B28*0.04)-'Fixed Costs - Madrid'!B34</f>
        <v>20765</v>
      </c>
      <c r="D28" s="22" t="n">
        <f aca="false">C28*12</f>
        <v>249180</v>
      </c>
    </row>
    <row r="29" customFormat="false" ht="15" hidden="false" customHeight="true" outlineLevel="0" collapsed="false">
      <c r="A29" s="10" t="s">
        <v>98</v>
      </c>
      <c r="B29" s="22" t="n">
        <v>40000</v>
      </c>
      <c r="C29" s="22" t="n">
        <f aca="false">B29-(B29/7.5)-(B29*0.04)-'Fixed Costs - Madrid'!B34</f>
        <v>29031.6666666667</v>
      </c>
      <c r="D29" s="22" t="n">
        <f aca="false">C29*12</f>
        <v>348380</v>
      </c>
    </row>
    <row r="30" customFormat="false" ht="15" hidden="false" customHeight="true" outlineLevel="0" collapsed="false">
      <c r="A30" s="6"/>
      <c r="B30" s="6"/>
      <c r="C30" s="6"/>
      <c r="D30" s="6"/>
    </row>
    <row r="31" customFormat="false" ht="15" hidden="false" customHeight="true" outlineLevel="0" collapsed="false">
      <c r="A31" s="33" t="s">
        <v>99</v>
      </c>
      <c r="B31" s="34"/>
      <c r="C31" s="34"/>
      <c r="D31" s="34"/>
    </row>
    <row r="32" customFormat="false" ht="15" hidden="false" customHeight="true" outlineLevel="0" collapsed="false">
      <c r="A32" s="10" t="s">
        <v>100</v>
      </c>
      <c r="B32" s="22" t="n">
        <f aca="false">'Initial Investment'!B35</f>
        <v>29840</v>
      </c>
      <c r="C32" s="10"/>
      <c r="D32" s="10" t="s">
        <v>101</v>
      </c>
    </row>
    <row r="33" customFormat="false" ht="15" hidden="false" customHeight="true" outlineLevel="0" collapsed="false">
      <c r="A33" s="10" t="s">
        <v>102</v>
      </c>
      <c r="B33" s="22" t="n">
        <f aca="false">C27</f>
        <v>12498.3333333333</v>
      </c>
      <c r="C33" s="10"/>
      <c r="D33" s="10" t="s">
        <v>103</v>
      </c>
    </row>
    <row r="34" customFormat="false" ht="15" hidden="false" customHeight="true" outlineLevel="0" collapsed="false">
      <c r="A34" s="10" t="s">
        <v>104</v>
      </c>
      <c r="B34" s="13" t="n">
        <f aca="false">B32/B33</f>
        <v>2.3875183357781</v>
      </c>
      <c r="C34" s="10"/>
      <c r="D34" s="1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B22" activeCellId="0" sqref="B22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50"/>
    <col collapsed="false" customWidth="true" hidden="false" outlineLevel="0" max="5" min="3" style="1" width="15"/>
    <col collapsed="false" customWidth="true" hidden="false" outlineLevel="0" max="6" min="6" style="1" width="18"/>
    <col collapsed="false" customWidth="true" hidden="false" outlineLevel="0" max="7" min="7" style="1" width="18.86"/>
    <col collapsed="false" customWidth="true" hidden="false" outlineLevel="0" max="9" min="8" style="1" width="18"/>
    <col collapsed="false" customWidth="true" hidden="false" outlineLevel="0" max="10" min="10" style="1" width="15"/>
  </cols>
  <sheetData>
    <row r="1" customFormat="false" ht="15" hidden="false" customHeight="true" outlineLevel="0" collapsed="false">
      <c r="A1" s="5" t="s">
        <v>106</v>
      </c>
    </row>
    <row r="3" customFormat="false" ht="47.25" hidden="false" customHeight="true" outlineLevel="0" collapsed="false">
      <c r="A3" s="23" t="s">
        <v>107</v>
      </c>
      <c r="B3" s="23" t="s">
        <v>108</v>
      </c>
      <c r="C3" s="23" t="s">
        <v>109</v>
      </c>
      <c r="D3" s="23" t="s">
        <v>110</v>
      </c>
      <c r="E3" s="23" t="s">
        <v>111</v>
      </c>
      <c r="F3" s="23" t="s">
        <v>112</v>
      </c>
      <c r="G3" s="23" t="s">
        <v>113</v>
      </c>
      <c r="H3" s="23" t="s">
        <v>114</v>
      </c>
      <c r="I3" s="23" t="s">
        <v>115</v>
      </c>
      <c r="J3" s="23" t="s">
        <v>116</v>
      </c>
    </row>
    <row r="4" customFormat="false" ht="15" hidden="false" customHeight="true" outlineLevel="0" collapsed="false">
      <c r="A4" s="26" t="s">
        <v>117</v>
      </c>
      <c r="B4" s="26" t="s">
        <v>118</v>
      </c>
      <c r="C4" s="41" t="n">
        <v>457.8</v>
      </c>
      <c r="D4" s="31" t="n">
        <v>421.176</v>
      </c>
      <c r="E4" s="31" t="n">
        <v>70.196</v>
      </c>
      <c r="F4" s="31" t="n">
        <v>56.1568</v>
      </c>
      <c r="G4" s="31" t="n">
        <v>46.7973333333333</v>
      </c>
      <c r="H4" s="31" t="n">
        <v>357.9996</v>
      </c>
      <c r="I4" s="31" t="n">
        <f aca="false">H4-F4</f>
        <v>301.8428</v>
      </c>
      <c r="J4" s="26" t="s">
        <v>119</v>
      </c>
    </row>
    <row r="5" customFormat="false" ht="15" hidden="false" customHeight="true" outlineLevel="0" collapsed="false">
      <c r="A5" s="26" t="s">
        <v>117</v>
      </c>
      <c r="B5" s="26" t="s">
        <v>120</v>
      </c>
      <c r="C5" s="41" t="n">
        <v>450</v>
      </c>
      <c r="D5" s="31" t="n">
        <v>414</v>
      </c>
      <c r="E5" s="31" t="n">
        <v>69</v>
      </c>
      <c r="F5" s="31" t="n">
        <v>55.2</v>
      </c>
      <c r="G5" s="31" t="n">
        <v>46</v>
      </c>
      <c r="H5" s="31" t="n">
        <v>351.9</v>
      </c>
      <c r="I5" s="31" t="n">
        <f aca="false">H5-F5</f>
        <v>296.7</v>
      </c>
      <c r="J5" s="26" t="s">
        <v>119</v>
      </c>
    </row>
    <row r="6" customFormat="false" ht="15" hidden="false" customHeight="true" outlineLevel="0" collapsed="false">
      <c r="A6" s="26" t="s">
        <v>117</v>
      </c>
      <c r="B6" s="26" t="s">
        <v>121</v>
      </c>
      <c r="C6" s="41" t="n">
        <v>440.2</v>
      </c>
      <c r="D6" s="31" t="n">
        <v>404.984</v>
      </c>
      <c r="E6" s="31" t="n">
        <v>67.4973333333333</v>
      </c>
      <c r="F6" s="31" t="n">
        <v>53.9978666666667</v>
      </c>
      <c r="G6" s="31" t="n">
        <v>44.9982222222222</v>
      </c>
      <c r="H6" s="31" t="n">
        <v>344.2364</v>
      </c>
      <c r="I6" s="31" t="n">
        <f aca="false">H6-F6</f>
        <v>290.238533333333</v>
      </c>
      <c r="J6" s="26" t="s">
        <v>119</v>
      </c>
    </row>
    <row r="7" customFormat="false" ht="15" hidden="false" customHeight="true" outlineLevel="0" collapsed="false">
      <c r="A7" s="26" t="s">
        <v>122</v>
      </c>
      <c r="B7" s="26" t="s">
        <v>123</v>
      </c>
      <c r="C7" s="41" t="n">
        <v>440</v>
      </c>
      <c r="D7" s="31" t="n">
        <v>404.8</v>
      </c>
      <c r="E7" s="31" t="n">
        <v>67.4666666666667</v>
      </c>
      <c r="F7" s="31" t="n">
        <v>53.9733333333333</v>
      </c>
      <c r="G7" s="31" t="n">
        <v>44.9777777777778</v>
      </c>
      <c r="H7" s="31" t="n">
        <v>344.08</v>
      </c>
      <c r="I7" s="31" t="n">
        <f aca="false">H7-F7</f>
        <v>290.106666666667</v>
      </c>
      <c r="J7" s="26" t="s">
        <v>119</v>
      </c>
    </row>
    <row r="8" customFormat="false" ht="15" hidden="false" customHeight="true" outlineLevel="0" collapsed="false">
      <c r="A8" s="26" t="s">
        <v>117</v>
      </c>
      <c r="B8" s="26" t="s">
        <v>124</v>
      </c>
      <c r="C8" s="41" t="n">
        <v>437.9</v>
      </c>
      <c r="D8" s="31" t="n">
        <v>402.868</v>
      </c>
      <c r="E8" s="31" t="n">
        <v>67.1446666666667</v>
      </c>
      <c r="F8" s="31" t="n">
        <v>53.7157333333333</v>
      </c>
      <c r="G8" s="31" t="n">
        <v>44.7631111111111</v>
      </c>
      <c r="H8" s="31" t="n">
        <v>342.4378</v>
      </c>
      <c r="I8" s="31" t="n">
        <f aca="false">H8-F8</f>
        <v>288.722066666667</v>
      </c>
      <c r="J8" s="26" t="s">
        <v>119</v>
      </c>
    </row>
    <row r="9" customFormat="false" ht="15" hidden="false" customHeight="true" outlineLevel="0" collapsed="false">
      <c r="A9" s="25" t="s">
        <v>117</v>
      </c>
      <c r="B9" s="25" t="s">
        <v>125</v>
      </c>
      <c r="C9" s="42" t="n">
        <v>437</v>
      </c>
      <c r="D9" s="43" t="n">
        <v>402.04</v>
      </c>
      <c r="E9" s="43" t="n">
        <v>67.0066666666667</v>
      </c>
      <c r="F9" s="43" t="n">
        <v>53.6053333333333</v>
      </c>
      <c r="G9" s="43" t="n">
        <v>44.6711111111111</v>
      </c>
      <c r="H9" s="43" t="n">
        <v>341.734</v>
      </c>
      <c r="I9" s="43" t="n">
        <f aca="false">H9-F9</f>
        <v>288.128666666667</v>
      </c>
      <c r="J9" s="25" t="s">
        <v>119</v>
      </c>
    </row>
    <row r="10" customFormat="false" ht="15" hidden="false" customHeight="true" outlineLevel="0" collapsed="false">
      <c r="A10" s="26" t="s">
        <v>117</v>
      </c>
      <c r="B10" s="26" t="s">
        <v>126</v>
      </c>
      <c r="C10" s="41" t="n">
        <v>435.55</v>
      </c>
      <c r="D10" s="31" t="n">
        <v>400.706</v>
      </c>
      <c r="E10" s="31" t="n">
        <v>66.7843333333333</v>
      </c>
      <c r="F10" s="31" t="n">
        <v>53.4274666666667</v>
      </c>
      <c r="G10" s="31" t="n">
        <v>44.5228888888889</v>
      </c>
      <c r="H10" s="31" t="n">
        <v>340.6001</v>
      </c>
      <c r="I10" s="31" t="n">
        <f aca="false">H10-F10</f>
        <v>287.172633333333</v>
      </c>
      <c r="J10" s="26" t="s">
        <v>119</v>
      </c>
    </row>
    <row r="11" customFormat="false" ht="15" hidden="false" customHeight="true" outlineLevel="0" collapsed="false">
      <c r="A11" s="26" t="s">
        <v>117</v>
      </c>
      <c r="B11" s="26" t="s">
        <v>127</v>
      </c>
      <c r="C11" s="41" t="n">
        <v>435.15</v>
      </c>
      <c r="D11" s="31" t="n">
        <v>400.338</v>
      </c>
      <c r="E11" s="31" t="n">
        <v>66.723</v>
      </c>
      <c r="F11" s="31" t="n">
        <v>53.3784</v>
      </c>
      <c r="G11" s="31" t="n">
        <v>44.482</v>
      </c>
      <c r="H11" s="31" t="n">
        <v>340.2873</v>
      </c>
      <c r="I11" s="31" t="n">
        <f aca="false">H11-F11</f>
        <v>286.9089</v>
      </c>
      <c r="J11" s="26" t="s">
        <v>119</v>
      </c>
    </row>
    <row r="12" customFormat="false" ht="15" hidden="false" customHeight="true" outlineLevel="0" collapsed="false">
      <c r="A12" s="26" t="s">
        <v>117</v>
      </c>
      <c r="B12" s="26" t="s">
        <v>118</v>
      </c>
      <c r="C12" s="41" t="n">
        <v>430</v>
      </c>
      <c r="D12" s="31" t="n">
        <v>395.6</v>
      </c>
      <c r="E12" s="31" t="n">
        <v>65.9333333333333</v>
      </c>
      <c r="F12" s="31" t="n">
        <v>52.7466666666667</v>
      </c>
      <c r="G12" s="31" t="n">
        <v>43.9555555555556</v>
      </c>
      <c r="H12" s="31" t="n">
        <v>336.26</v>
      </c>
      <c r="I12" s="31" t="n">
        <f aca="false">H12-F12</f>
        <v>283.513333333333</v>
      </c>
      <c r="J12" s="26" t="s">
        <v>119</v>
      </c>
    </row>
    <row r="13" customFormat="false" ht="15" hidden="false" customHeight="true" outlineLevel="0" collapsed="false">
      <c r="A13" s="26" t="s">
        <v>117</v>
      </c>
      <c r="B13" s="26" t="s">
        <v>128</v>
      </c>
      <c r="C13" s="41" t="n">
        <v>430</v>
      </c>
      <c r="D13" s="31" t="n">
        <v>395.6</v>
      </c>
      <c r="E13" s="31" t="n">
        <v>65.9333333333333</v>
      </c>
      <c r="F13" s="31" t="n">
        <v>52.7466666666667</v>
      </c>
      <c r="G13" s="31" t="n">
        <v>43.9555555555556</v>
      </c>
      <c r="H13" s="31" t="n">
        <v>336.26</v>
      </c>
      <c r="I13" s="31" t="n">
        <f aca="false">H13-F13</f>
        <v>283.513333333333</v>
      </c>
      <c r="J13" s="26" t="s">
        <v>119</v>
      </c>
    </row>
    <row r="14" customFormat="false" ht="15" hidden="false" customHeight="true" outlineLevel="0" collapsed="false">
      <c r="A14" s="26" t="s">
        <v>117</v>
      </c>
      <c r="B14" s="26" t="s">
        <v>129</v>
      </c>
      <c r="C14" s="41" t="n">
        <v>430</v>
      </c>
      <c r="D14" s="31" t="n">
        <v>395.6</v>
      </c>
      <c r="E14" s="31" t="n">
        <v>65.9333333333333</v>
      </c>
      <c r="F14" s="31" t="n">
        <v>52.7466666666667</v>
      </c>
      <c r="G14" s="31" t="n">
        <v>43.9555555555556</v>
      </c>
      <c r="H14" s="31" t="n">
        <v>336.26</v>
      </c>
      <c r="I14" s="31" t="n">
        <f aca="false">H14-F14</f>
        <v>283.513333333333</v>
      </c>
      <c r="J14" s="26" t="s">
        <v>119</v>
      </c>
    </row>
    <row r="15" customFormat="false" ht="15" hidden="false" customHeight="true" outlineLevel="0" collapsed="false">
      <c r="A15" s="25" t="s">
        <v>117</v>
      </c>
      <c r="B15" s="25" t="s">
        <v>130</v>
      </c>
      <c r="C15" s="42" t="n">
        <v>430</v>
      </c>
      <c r="D15" s="43" t="n">
        <v>395.6</v>
      </c>
      <c r="E15" s="43" t="n">
        <v>65.9333333333333</v>
      </c>
      <c r="F15" s="43" t="n">
        <v>52.7466666666667</v>
      </c>
      <c r="G15" s="43" t="n">
        <v>43.9555555555556</v>
      </c>
      <c r="H15" s="43" t="n">
        <v>336.26</v>
      </c>
      <c r="I15" s="43" t="n">
        <f aca="false">H15-F15</f>
        <v>283.513333333333</v>
      </c>
      <c r="J15" s="25" t="s">
        <v>119</v>
      </c>
    </row>
    <row r="16" customFormat="false" ht="15" hidden="false" customHeight="true" outlineLevel="0" collapsed="false">
      <c r="A16" s="26" t="s">
        <v>117</v>
      </c>
      <c r="B16" s="26" t="s">
        <v>126</v>
      </c>
      <c r="C16" s="41" t="n">
        <v>430</v>
      </c>
      <c r="D16" s="31" t="n">
        <v>395.6</v>
      </c>
      <c r="E16" s="31" t="n">
        <v>65.9333333333333</v>
      </c>
      <c r="F16" s="31" t="n">
        <v>52.7466666666667</v>
      </c>
      <c r="G16" s="31" t="n">
        <v>43.9555555555556</v>
      </c>
      <c r="H16" s="31" t="n">
        <v>336.26</v>
      </c>
      <c r="I16" s="31" t="n">
        <f aca="false">H16-F16</f>
        <v>283.513333333333</v>
      </c>
      <c r="J16" s="26" t="s">
        <v>119</v>
      </c>
    </row>
    <row r="17" customFormat="false" ht="15" hidden="false" customHeight="true" outlineLevel="0" collapsed="false">
      <c r="A17" s="25" t="s">
        <v>117</v>
      </c>
      <c r="B17" s="25" t="s">
        <v>126</v>
      </c>
      <c r="C17" s="42" t="n">
        <v>430</v>
      </c>
      <c r="D17" s="43" t="n">
        <v>395.6</v>
      </c>
      <c r="E17" s="43" t="n">
        <v>65.9333333333333</v>
      </c>
      <c r="F17" s="43" t="n">
        <v>52.7466666666667</v>
      </c>
      <c r="G17" s="43" t="n">
        <v>43.9555555555556</v>
      </c>
      <c r="H17" s="43" t="n">
        <v>336.26</v>
      </c>
      <c r="I17" s="43" t="n">
        <f aca="false">H17-F17</f>
        <v>283.513333333333</v>
      </c>
      <c r="J17" s="25" t="s">
        <v>119</v>
      </c>
    </row>
    <row r="18" customFormat="false" ht="15" hidden="false" customHeight="true" outlineLevel="0" collapsed="false">
      <c r="A18" s="25" t="s">
        <v>122</v>
      </c>
      <c r="B18" s="25" t="s">
        <v>123</v>
      </c>
      <c r="C18" s="42" t="n">
        <v>430</v>
      </c>
      <c r="D18" s="43" t="n">
        <v>395.6</v>
      </c>
      <c r="E18" s="43" t="n">
        <v>65.9333333333333</v>
      </c>
      <c r="F18" s="43" t="n">
        <v>52.7466666666667</v>
      </c>
      <c r="G18" s="43" t="n">
        <v>43.9555555555556</v>
      </c>
      <c r="H18" s="43" t="n">
        <v>336.26</v>
      </c>
      <c r="I18" s="43" t="n">
        <f aca="false">H18-F18</f>
        <v>283.513333333333</v>
      </c>
      <c r="J18" s="25" t="s">
        <v>119</v>
      </c>
    </row>
    <row r="19" customFormat="false" ht="15" hidden="false" customHeight="true" outlineLevel="0" collapsed="false">
      <c r="A19" s="26" t="s">
        <v>117</v>
      </c>
      <c r="B19" s="26" t="s">
        <v>131</v>
      </c>
      <c r="C19" s="41" t="n">
        <v>427.23</v>
      </c>
      <c r="D19" s="31" t="n">
        <v>393.0516</v>
      </c>
      <c r="E19" s="31" t="n">
        <v>65.5086</v>
      </c>
      <c r="F19" s="31" t="n">
        <v>52.40688</v>
      </c>
      <c r="G19" s="31" t="n">
        <v>43.6724</v>
      </c>
      <c r="H19" s="31" t="n">
        <v>334.09386</v>
      </c>
      <c r="I19" s="31" t="n">
        <f aca="false">H19-F19</f>
        <v>281.68698</v>
      </c>
      <c r="J19" s="26" t="s">
        <v>119</v>
      </c>
    </row>
    <row r="20" customFormat="false" ht="15" hidden="false" customHeight="true" outlineLevel="0" collapsed="false">
      <c r="A20" s="25" t="s">
        <v>117</v>
      </c>
      <c r="B20" s="25" t="s">
        <v>132</v>
      </c>
      <c r="C20" s="42" t="n">
        <v>427.23</v>
      </c>
      <c r="D20" s="43" t="n">
        <v>393.0516</v>
      </c>
      <c r="E20" s="43" t="n">
        <v>65.5086</v>
      </c>
      <c r="F20" s="43" t="n">
        <v>52.40688</v>
      </c>
      <c r="G20" s="43" t="n">
        <v>43.6724</v>
      </c>
      <c r="H20" s="43" t="n">
        <v>334.09386</v>
      </c>
      <c r="I20" s="43" t="n">
        <f aca="false">H20-F20</f>
        <v>281.68698</v>
      </c>
      <c r="J20" s="25" t="s">
        <v>119</v>
      </c>
    </row>
    <row r="21" customFormat="false" ht="15" hidden="false" customHeight="true" outlineLevel="0" collapsed="false">
      <c r="A21" s="25" t="s">
        <v>133</v>
      </c>
      <c r="B21" s="25" t="s">
        <v>134</v>
      </c>
      <c r="C21" s="42" t="n">
        <v>421.5</v>
      </c>
      <c r="D21" s="43" t="n">
        <v>387.78</v>
      </c>
      <c r="E21" s="43" t="n">
        <v>64.63</v>
      </c>
      <c r="F21" s="43" t="n">
        <v>51.704</v>
      </c>
      <c r="G21" s="43" t="n">
        <v>43.0866666666667</v>
      </c>
      <c r="H21" s="43" t="n">
        <v>329.613</v>
      </c>
      <c r="I21" s="43" t="n">
        <f aca="false">H21-F21</f>
        <v>277.909</v>
      </c>
      <c r="J21" s="25" t="s">
        <v>119</v>
      </c>
    </row>
    <row r="22" customFormat="false" ht="15" hidden="false" customHeight="true" outlineLevel="0" collapsed="false">
      <c r="A22" s="26" t="s">
        <v>133</v>
      </c>
      <c r="B22" s="26" t="s">
        <v>135</v>
      </c>
      <c r="C22" s="41" t="n">
        <v>410</v>
      </c>
      <c r="D22" s="31" t="n">
        <v>377.2</v>
      </c>
      <c r="E22" s="31" t="n">
        <v>62.8666666666667</v>
      </c>
      <c r="F22" s="31" t="n">
        <v>50.2933333333333</v>
      </c>
      <c r="G22" s="31" t="n">
        <v>41.9111111111111</v>
      </c>
      <c r="H22" s="31" t="n">
        <v>320.62</v>
      </c>
      <c r="I22" s="31" t="n">
        <f aca="false">H22-F22</f>
        <v>270.326666666667</v>
      </c>
      <c r="J22" s="26" t="s">
        <v>119</v>
      </c>
    </row>
    <row r="23" customFormat="false" ht="15" hidden="false" customHeight="true" outlineLevel="0" collapsed="false">
      <c r="A23" s="26" t="s">
        <v>117</v>
      </c>
      <c r="B23" s="26" t="s">
        <v>136</v>
      </c>
      <c r="C23" s="41" t="n">
        <v>399.25</v>
      </c>
      <c r="D23" s="31" t="n">
        <v>367.31</v>
      </c>
      <c r="E23" s="31" t="n">
        <v>61.2183333333333</v>
      </c>
      <c r="F23" s="31" t="n">
        <v>48.9746666666667</v>
      </c>
      <c r="G23" s="31" t="n">
        <v>40.8122222222222</v>
      </c>
      <c r="H23" s="31" t="n">
        <v>312.2135</v>
      </c>
      <c r="I23" s="31" t="n">
        <f aca="false">H23-F23</f>
        <v>263.238833333333</v>
      </c>
      <c r="J23" s="26" t="s">
        <v>119</v>
      </c>
    </row>
    <row r="24" customFormat="false" ht="15" hidden="false" customHeight="true" outlineLevel="0" collapsed="false">
      <c r="A24" s="25" t="s">
        <v>117</v>
      </c>
      <c r="B24" s="25" t="s">
        <v>137</v>
      </c>
      <c r="C24" s="42" t="n">
        <v>391.33</v>
      </c>
      <c r="D24" s="43" t="n">
        <v>360.0236</v>
      </c>
      <c r="E24" s="43" t="n">
        <v>60.0039333333333</v>
      </c>
      <c r="F24" s="43" t="n">
        <v>48.0031466666667</v>
      </c>
      <c r="G24" s="43" t="n">
        <v>40.0026222222222</v>
      </c>
      <c r="H24" s="43" t="n">
        <v>306.02006</v>
      </c>
      <c r="I24" s="43" t="n">
        <f aca="false">H24-F24</f>
        <v>258.016913333333</v>
      </c>
      <c r="J24" s="25" t="s">
        <v>119</v>
      </c>
    </row>
    <row r="25" customFormat="false" ht="15" hidden="false" customHeight="true" outlineLevel="0" collapsed="false">
      <c r="A25" s="26" t="s">
        <v>117</v>
      </c>
      <c r="B25" s="26" t="s">
        <v>138</v>
      </c>
      <c r="C25" s="41" t="n">
        <v>388.9</v>
      </c>
      <c r="D25" s="31" t="n">
        <v>357.788</v>
      </c>
      <c r="E25" s="31" t="n">
        <v>59.6313333333333</v>
      </c>
      <c r="F25" s="31" t="n">
        <v>47.7050666666667</v>
      </c>
      <c r="G25" s="31" t="n">
        <v>39.7542222222222</v>
      </c>
      <c r="H25" s="31" t="n">
        <v>304.1198</v>
      </c>
      <c r="I25" s="31" t="n">
        <f aca="false">H25-F25</f>
        <v>256.414733333333</v>
      </c>
      <c r="J25" s="26" t="s">
        <v>119</v>
      </c>
    </row>
    <row r="26" customFormat="false" ht="15" hidden="false" customHeight="true" outlineLevel="0" collapsed="false">
      <c r="A26" s="25" t="s">
        <v>117</v>
      </c>
      <c r="B26" s="25" t="s">
        <v>139</v>
      </c>
      <c r="C26" s="42" t="n">
        <v>384.31</v>
      </c>
      <c r="D26" s="43" t="n">
        <v>353.5652</v>
      </c>
      <c r="E26" s="43" t="n">
        <v>58.9275333333333</v>
      </c>
      <c r="F26" s="43" t="n">
        <v>47.1420266666667</v>
      </c>
      <c r="G26" s="43" t="n">
        <v>39.2850222222222</v>
      </c>
      <c r="H26" s="43" t="n">
        <v>300.53042</v>
      </c>
      <c r="I26" s="43" t="n">
        <f aca="false">H26-F26</f>
        <v>253.388393333333</v>
      </c>
      <c r="J26" s="25" t="s">
        <v>119</v>
      </c>
    </row>
    <row r="27" customFormat="false" ht="15" hidden="false" customHeight="true" outlineLevel="0" collapsed="false">
      <c r="A27" s="26" t="s">
        <v>117</v>
      </c>
      <c r="B27" s="26" t="s">
        <v>140</v>
      </c>
      <c r="C27" s="41" t="n">
        <v>370</v>
      </c>
      <c r="D27" s="31" t="n">
        <v>340.4</v>
      </c>
      <c r="E27" s="31" t="n">
        <v>56.7333333333333</v>
      </c>
      <c r="F27" s="31" t="n">
        <v>45.3866666666667</v>
      </c>
      <c r="G27" s="31" t="n">
        <v>37.8222222222222</v>
      </c>
      <c r="H27" s="31" t="n">
        <v>289.34</v>
      </c>
      <c r="I27" s="31" t="n">
        <f aca="false">H27-F27</f>
        <v>243.953333333333</v>
      </c>
      <c r="J27" s="26" t="s">
        <v>119</v>
      </c>
    </row>
    <row r="28" customFormat="false" ht="15" hidden="false" customHeight="true" outlineLevel="0" collapsed="false">
      <c r="A28" s="26" t="s">
        <v>117</v>
      </c>
      <c r="B28" s="26" t="s">
        <v>141</v>
      </c>
      <c r="C28" s="41" t="n">
        <v>350.1</v>
      </c>
      <c r="D28" s="31" t="n">
        <v>322.092</v>
      </c>
      <c r="E28" s="31" t="n">
        <v>53.682</v>
      </c>
      <c r="F28" s="31" t="n">
        <v>42.9456</v>
      </c>
      <c r="G28" s="31" t="n">
        <v>35.788</v>
      </c>
      <c r="H28" s="31" t="n">
        <v>273.7782</v>
      </c>
      <c r="I28" s="31" t="n">
        <f aca="false">H28-F28</f>
        <v>230.8326</v>
      </c>
      <c r="J28" s="26" t="s">
        <v>119</v>
      </c>
    </row>
    <row r="29" customFormat="false" ht="15" hidden="false" customHeight="true" outlineLevel="0" collapsed="false">
      <c r="A29" s="25" t="s">
        <v>117</v>
      </c>
      <c r="B29" s="25" t="s">
        <v>142</v>
      </c>
      <c r="C29" s="42" t="n">
        <v>350.1</v>
      </c>
      <c r="D29" s="43" t="n">
        <v>322.092</v>
      </c>
      <c r="E29" s="43" t="n">
        <v>53.682</v>
      </c>
      <c r="F29" s="43" t="n">
        <v>42.9456</v>
      </c>
      <c r="G29" s="43" t="n">
        <v>35.788</v>
      </c>
      <c r="H29" s="43" t="n">
        <v>273.7782</v>
      </c>
      <c r="I29" s="43" t="n">
        <f aca="false">H29-F29</f>
        <v>230.8326</v>
      </c>
      <c r="J29" s="25" t="s">
        <v>119</v>
      </c>
    </row>
    <row r="30" customFormat="false" ht="15" hidden="false" customHeight="true" outlineLevel="0" collapsed="false">
      <c r="A30" s="25" t="s">
        <v>117</v>
      </c>
      <c r="B30" s="25" t="s">
        <v>143</v>
      </c>
      <c r="C30" s="42" t="n">
        <v>350.1</v>
      </c>
      <c r="D30" s="43" t="n">
        <v>322.092</v>
      </c>
      <c r="E30" s="43" t="n">
        <v>53.682</v>
      </c>
      <c r="F30" s="43" t="n">
        <v>42.9456</v>
      </c>
      <c r="G30" s="43" t="n">
        <v>35.788</v>
      </c>
      <c r="H30" s="43" t="n">
        <v>273.7782</v>
      </c>
      <c r="I30" s="43" t="n">
        <f aca="false">H30-F30</f>
        <v>230.8326</v>
      </c>
      <c r="J30" s="25" t="s">
        <v>119</v>
      </c>
    </row>
    <row r="31" customFormat="false" ht="15" hidden="false" customHeight="true" outlineLevel="0" collapsed="false">
      <c r="A31" s="26" t="s">
        <v>117</v>
      </c>
      <c r="B31" s="26" t="s">
        <v>144</v>
      </c>
      <c r="C31" s="41" t="n">
        <v>350</v>
      </c>
      <c r="D31" s="31" t="n">
        <v>322</v>
      </c>
      <c r="E31" s="31" t="n">
        <v>53.6666666666667</v>
      </c>
      <c r="F31" s="31" t="n">
        <v>42.9333333333333</v>
      </c>
      <c r="G31" s="31" t="n">
        <v>35.7777777777778</v>
      </c>
      <c r="H31" s="31" t="n">
        <v>273.7</v>
      </c>
      <c r="I31" s="31" t="n">
        <f aca="false">H31-F31</f>
        <v>230.766666666667</v>
      </c>
      <c r="J31" s="26" t="s">
        <v>119</v>
      </c>
    </row>
    <row r="32" customFormat="false" ht="15" hidden="false" customHeight="true" outlineLevel="0" collapsed="false">
      <c r="A32" s="25" t="s">
        <v>117</v>
      </c>
      <c r="B32" s="25" t="s">
        <v>145</v>
      </c>
      <c r="C32" s="42" t="n">
        <v>350</v>
      </c>
      <c r="D32" s="43" t="n">
        <v>322</v>
      </c>
      <c r="E32" s="43" t="n">
        <v>53.6666666666667</v>
      </c>
      <c r="F32" s="43" t="n">
        <v>42.9333333333333</v>
      </c>
      <c r="G32" s="43" t="n">
        <v>35.7777777777778</v>
      </c>
      <c r="H32" s="43" t="n">
        <v>273.7</v>
      </c>
      <c r="I32" s="43" t="n">
        <f aca="false">H32-F32</f>
        <v>230.766666666667</v>
      </c>
      <c r="J32" s="25" t="s">
        <v>119</v>
      </c>
    </row>
    <row r="33" customFormat="false" ht="15" hidden="false" customHeight="true" outlineLevel="0" collapsed="false">
      <c r="A33" s="25" t="s">
        <v>117</v>
      </c>
      <c r="B33" s="25" t="s">
        <v>146</v>
      </c>
      <c r="C33" s="42" t="n">
        <v>350</v>
      </c>
      <c r="D33" s="43" t="n">
        <v>322</v>
      </c>
      <c r="E33" s="43" t="n">
        <v>53.6666666666667</v>
      </c>
      <c r="F33" s="43" t="n">
        <v>42.9333333333333</v>
      </c>
      <c r="G33" s="43" t="n">
        <v>35.7777777777778</v>
      </c>
      <c r="H33" s="43" t="n">
        <v>273.7</v>
      </c>
      <c r="I33" s="43" t="n">
        <f aca="false">H33-F33</f>
        <v>230.766666666667</v>
      </c>
      <c r="J33" s="25" t="s">
        <v>119</v>
      </c>
    </row>
    <row r="34" customFormat="false" ht="15" hidden="false" customHeight="true" outlineLevel="0" collapsed="false">
      <c r="A34" s="26" t="s">
        <v>117</v>
      </c>
      <c r="B34" s="26" t="s">
        <v>139</v>
      </c>
      <c r="C34" s="41" t="n">
        <v>350</v>
      </c>
      <c r="D34" s="31" t="n">
        <v>322</v>
      </c>
      <c r="E34" s="31" t="n">
        <v>53.6666666666667</v>
      </c>
      <c r="F34" s="31" t="n">
        <v>42.9333333333333</v>
      </c>
      <c r="G34" s="31" t="n">
        <v>35.7777777777778</v>
      </c>
      <c r="H34" s="31" t="n">
        <v>273.7</v>
      </c>
      <c r="I34" s="31" t="n">
        <f aca="false">H34-F34</f>
        <v>230.766666666667</v>
      </c>
      <c r="J34" s="26" t="s">
        <v>119</v>
      </c>
    </row>
    <row r="35" customFormat="false" ht="15" hidden="false" customHeight="true" outlineLevel="0" collapsed="false">
      <c r="A35" s="25" t="s">
        <v>117</v>
      </c>
      <c r="B35" s="25" t="s">
        <v>147</v>
      </c>
      <c r="C35" s="42" t="n">
        <v>349.25</v>
      </c>
      <c r="D35" s="43" t="n">
        <v>321.31</v>
      </c>
      <c r="E35" s="43" t="n">
        <v>53.5516666666667</v>
      </c>
      <c r="F35" s="43" t="n">
        <v>42.8413333333333</v>
      </c>
      <c r="G35" s="43" t="n">
        <v>35.7011111111111</v>
      </c>
      <c r="H35" s="43" t="n">
        <v>273.1135</v>
      </c>
      <c r="I35" s="43" t="n">
        <f aca="false">H35-F35</f>
        <v>230.272166666667</v>
      </c>
      <c r="J35" s="25" t="s">
        <v>119</v>
      </c>
    </row>
    <row r="36" customFormat="false" ht="15" hidden="false" customHeight="true" outlineLevel="0" collapsed="false">
      <c r="A36" s="26" t="s">
        <v>117</v>
      </c>
      <c r="B36" s="26" t="s">
        <v>148</v>
      </c>
      <c r="C36" s="41" t="n">
        <v>345.21</v>
      </c>
      <c r="D36" s="31" t="n">
        <v>317.5932</v>
      </c>
      <c r="E36" s="31" t="n">
        <v>52.9322</v>
      </c>
      <c r="F36" s="31" t="n">
        <v>42.34576</v>
      </c>
      <c r="G36" s="31" t="n">
        <v>35.2881333333333</v>
      </c>
      <c r="H36" s="31" t="n">
        <v>269.95422</v>
      </c>
      <c r="I36" s="31" t="n">
        <f aca="false">H36-F36</f>
        <v>227.60846</v>
      </c>
      <c r="J36" s="26" t="s">
        <v>119</v>
      </c>
    </row>
    <row r="37" customFormat="false" ht="15" hidden="false" customHeight="true" outlineLevel="0" collapsed="false">
      <c r="A37" s="25" t="s">
        <v>149</v>
      </c>
      <c r="B37" s="25" t="s">
        <v>150</v>
      </c>
      <c r="C37" s="42" t="n">
        <v>341.22</v>
      </c>
      <c r="D37" s="43" t="n">
        <v>313.9224</v>
      </c>
      <c r="E37" s="43" t="n">
        <v>52.3204</v>
      </c>
      <c r="F37" s="43" t="n">
        <v>41.85632</v>
      </c>
      <c r="G37" s="43" t="n">
        <v>34.8802666666667</v>
      </c>
      <c r="H37" s="43" t="n">
        <v>266.83404</v>
      </c>
      <c r="I37" s="43" t="n">
        <f aca="false">H37-F37</f>
        <v>224.97772</v>
      </c>
      <c r="J37" s="25" t="s">
        <v>119</v>
      </c>
    </row>
    <row r="38" customFormat="false" ht="15" hidden="false" customHeight="true" outlineLevel="0" collapsed="false">
      <c r="A38" s="25" t="s">
        <v>117</v>
      </c>
      <c r="B38" s="25" t="s">
        <v>139</v>
      </c>
      <c r="C38" s="42" t="n">
        <v>337</v>
      </c>
      <c r="D38" s="43" t="n">
        <v>310.04</v>
      </c>
      <c r="E38" s="43" t="n">
        <v>51.6733333333333</v>
      </c>
      <c r="F38" s="43" t="n">
        <v>41.3386666666667</v>
      </c>
      <c r="G38" s="43" t="n">
        <v>34.4488888888889</v>
      </c>
      <c r="H38" s="43" t="n">
        <v>263.534</v>
      </c>
      <c r="I38" s="43" t="n">
        <f aca="false">H38-F38</f>
        <v>222.195333333333</v>
      </c>
      <c r="J38" s="25" t="s">
        <v>119</v>
      </c>
    </row>
    <row r="39" customFormat="false" ht="15" hidden="false" customHeight="true" outlineLevel="0" collapsed="false">
      <c r="A39" s="25" t="s">
        <v>133</v>
      </c>
      <c r="B39" s="25" t="s">
        <v>151</v>
      </c>
      <c r="C39" s="42" t="n">
        <v>335</v>
      </c>
      <c r="D39" s="43" t="n">
        <v>308.2</v>
      </c>
      <c r="E39" s="43" t="n">
        <v>51.3666666666667</v>
      </c>
      <c r="F39" s="43" t="n">
        <v>41.0933333333333</v>
      </c>
      <c r="G39" s="43" t="n">
        <v>34.2444444444444</v>
      </c>
      <c r="H39" s="43" t="n">
        <v>261.97</v>
      </c>
      <c r="I39" s="43" t="n">
        <f aca="false">H39-F39</f>
        <v>220.876666666667</v>
      </c>
      <c r="J39" s="25" t="s">
        <v>119</v>
      </c>
    </row>
    <row r="40" customFormat="false" ht="15" hidden="false" customHeight="true" outlineLevel="0" collapsed="false">
      <c r="A40" s="25" t="s">
        <v>117</v>
      </c>
      <c r="B40" s="25" t="s">
        <v>152</v>
      </c>
      <c r="C40" s="42" t="n">
        <v>331.75</v>
      </c>
      <c r="D40" s="43" t="n">
        <v>305.21</v>
      </c>
      <c r="E40" s="43" t="n">
        <v>50.8683333333333</v>
      </c>
      <c r="F40" s="43" t="n">
        <v>40.6946666666667</v>
      </c>
      <c r="G40" s="43" t="n">
        <v>33.9122222222222</v>
      </c>
      <c r="H40" s="43" t="n">
        <v>259.4285</v>
      </c>
      <c r="I40" s="43" t="n">
        <f aca="false">H40-F40</f>
        <v>218.733833333333</v>
      </c>
      <c r="J40" s="25" t="s">
        <v>119</v>
      </c>
    </row>
    <row r="41" customFormat="false" ht="15" hidden="false" customHeight="true" outlineLevel="0" collapsed="false">
      <c r="A41" s="26" t="s">
        <v>117</v>
      </c>
      <c r="B41" s="26" t="s">
        <v>153</v>
      </c>
      <c r="C41" s="41" t="n">
        <v>331.75</v>
      </c>
      <c r="D41" s="31" t="n">
        <v>305.21</v>
      </c>
      <c r="E41" s="31" t="n">
        <v>50.8683333333333</v>
      </c>
      <c r="F41" s="31" t="n">
        <v>40.6946666666667</v>
      </c>
      <c r="G41" s="31" t="n">
        <v>33.9122222222222</v>
      </c>
      <c r="H41" s="31" t="n">
        <v>259.4285</v>
      </c>
      <c r="I41" s="31" t="n">
        <f aca="false">H41-F41</f>
        <v>218.733833333333</v>
      </c>
      <c r="J41" s="26" t="s">
        <v>119</v>
      </c>
    </row>
    <row r="42" customFormat="false" ht="15" hidden="false" customHeight="true" outlineLevel="0" collapsed="false">
      <c r="A42" s="25" t="s">
        <v>154</v>
      </c>
      <c r="B42" s="25" t="s">
        <v>155</v>
      </c>
      <c r="C42" s="42" t="n">
        <v>324</v>
      </c>
      <c r="D42" s="43" t="n">
        <v>298.08</v>
      </c>
      <c r="E42" s="43" t="n">
        <v>49.68</v>
      </c>
      <c r="F42" s="43" t="n">
        <v>39.744</v>
      </c>
      <c r="G42" s="43" t="n">
        <v>33.12</v>
      </c>
      <c r="H42" s="43" t="n">
        <v>253.368</v>
      </c>
      <c r="I42" s="43" t="n">
        <f aca="false">H42-F42</f>
        <v>213.624</v>
      </c>
      <c r="J42" s="25" t="s">
        <v>119</v>
      </c>
    </row>
    <row r="43" customFormat="false" ht="15" hidden="false" customHeight="true" outlineLevel="0" collapsed="false">
      <c r="A43" s="25" t="s">
        <v>149</v>
      </c>
      <c r="B43" s="25" t="s">
        <v>156</v>
      </c>
      <c r="C43" s="42" t="n">
        <v>320</v>
      </c>
      <c r="D43" s="43" t="n">
        <v>294.4</v>
      </c>
      <c r="E43" s="43" t="n">
        <v>49.0666666666667</v>
      </c>
      <c r="F43" s="43" t="n">
        <v>39.2533333333333</v>
      </c>
      <c r="G43" s="43" t="n">
        <v>32.7111111111111</v>
      </c>
      <c r="H43" s="43" t="n">
        <v>250.24</v>
      </c>
      <c r="I43" s="43" t="n">
        <f aca="false">H43-F43</f>
        <v>210.986666666667</v>
      </c>
      <c r="J43" s="25" t="s">
        <v>119</v>
      </c>
    </row>
    <row r="44" customFormat="false" ht="15" hidden="false" customHeight="true" outlineLevel="0" collapsed="false">
      <c r="A44" s="25" t="s">
        <v>133</v>
      </c>
      <c r="B44" s="25" t="s">
        <v>157</v>
      </c>
      <c r="C44" s="42" t="n">
        <v>320</v>
      </c>
      <c r="D44" s="43" t="n">
        <v>294.4</v>
      </c>
      <c r="E44" s="43" t="n">
        <v>49.0666666666667</v>
      </c>
      <c r="F44" s="43" t="n">
        <v>39.2533333333333</v>
      </c>
      <c r="G44" s="43" t="n">
        <v>32.7111111111111</v>
      </c>
      <c r="H44" s="43" t="n">
        <v>250.24</v>
      </c>
      <c r="I44" s="43" t="n">
        <f aca="false">H44-F44</f>
        <v>210.986666666667</v>
      </c>
      <c r="J44" s="25" t="s">
        <v>119</v>
      </c>
    </row>
    <row r="45" customFormat="false" ht="15" hidden="false" customHeight="true" outlineLevel="0" collapsed="false">
      <c r="A45" s="26" t="s">
        <v>117</v>
      </c>
      <c r="B45" s="26" t="s">
        <v>158</v>
      </c>
      <c r="C45" s="41" t="n">
        <v>317</v>
      </c>
      <c r="D45" s="31" t="n">
        <v>291.64</v>
      </c>
      <c r="E45" s="31" t="n">
        <v>48.6066666666667</v>
      </c>
      <c r="F45" s="31" t="n">
        <v>38.8853333333333</v>
      </c>
      <c r="G45" s="31" t="n">
        <v>32.4044444444444</v>
      </c>
      <c r="H45" s="31" t="n">
        <v>247.894</v>
      </c>
      <c r="I45" s="31" t="n">
        <f aca="false">H45-F45</f>
        <v>209.008666666667</v>
      </c>
      <c r="J45" s="26" t="s">
        <v>119</v>
      </c>
    </row>
    <row r="46" customFormat="false" ht="15" hidden="false" customHeight="true" outlineLevel="0" collapsed="false">
      <c r="A46" s="25" t="s">
        <v>117</v>
      </c>
      <c r="B46" s="25" t="s">
        <v>159</v>
      </c>
      <c r="C46" s="42" t="n">
        <v>301.55</v>
      </c>
      <c r="D46" s="43" t="n">
        <v>277.426</v>
      </c>
      <c r="E46" s="43" t="n">
        <v>46.2376666666667</v>
      </c>
      <c r="F46" s="43" t="n">
        <v>36.9901333333333</v>
      </c>
      <c r="G46" s="43" t="n">
        <v>30.8251111111111</v>
      </c>
      <c r="H46" s="43" t="n">
        <v>235.8121</v>
      </c>
      <c r="I46" s="43" t="n">
        <f aca="false">H46-F46</f>
        <v>198.821966666667</v>
      </c>
      <c r="J46" s="25" t="s">
        <v>119</v>
      </c>
    </row>
    <row r="47" customFormat="false" ht="15" hidden="false" customHeight="true" outlineLevel="0" collapsed="false">
      <c r="A47" s="25" t="s">
        <v>133</v>
      </c>
      <c r="B47" s="25" t="s">
        <v>160</v>
      </c>
      <c r="C47" s="42" t="n">
        <v>298.1</v>
      </c>
      <c r="D47" s="43" t="n">
        <v>274.252</v>
      </c>
      <c r="E47" s="43" t="n">
        <v>45.7086666666667</v>
      </c>
      <c r="F47" s="43" t="n">
        <v>36.5669333333333</v>
      </c>
      <c r="G47" s="43" t="n">
        <v>30.4724444444444</v>
      </c>
      <c r="H47" s="43" t="n">
        <v>233.1142</v>
      </c>
      <c r="I47" s="43" t="n">
        <f aca="false">H47-F47</f>
        <v>196.547266666667</v>
      </c>
      <c r="J47" s="25" t="s">
        <v>119</v>
      </c>
    </row>
    <row r="48" customFormat="false" ht="15" hidden="false" customHeight="true" outlineLevel="0" collapsed="false">
      <c r="A48" s="25" t="s">
        <v>133</v>
      </c>
      <c r="B48" s="25" t="s">
        <v>161</v>
      </c>
      <c r="C48" s="42" t="n">
        <v>295</v>
      </c>
      <c r="D48" s="43" t="n">
        <v>271.4</v>
      </c>
      <c r="E48" s="43" t="n">
        <v>45.2333333333333</v>
      </c>
      <c r="F48" s="43" t="n">
        <v>36.1866666666667</v>
      </c>
      <c r="G48" s="43" t="n">
        <v>30.1555555555556</v>
      </c>
      <c r="H48" s="43" t="n">
        <v>230.69</v>
      </c>
      <c r="I48" s="43" t="n">
        <f aca="false">H48-F48</f>
        <v>194.503333333333</v>
      </c>
      <c r="J48" s="25" t="s">
        <v>119</v>
      </c>
    </row>
    <row r="49" customFormat="false" ht="15" hidden="false" customHeight="true" outlineLevel="0" collapsed="false">
      <c r="A49" s="26" t="s">
        <v>117</v>
      </c>
      <c r="B49" s="26" t="s">
        <v>162</v>
      </c>
      <c r="C49" s="41" t="n">
        <v>291.5</v>
      </c>
      <c r="D49" s="31" t="n">
        <v>268.18</v>
      </c>
      <c r="E49" s="31" t="n">
        <v>44.6966666666667</v>
      </c>
      <c r="F49" s="31" t="n">
        <v>35.7573333333333</v>
      </c>
      <c r="G49" s="31" t="n">
        <v>29.7977777777778</v>
      </c>
      <c r="H49" s="31" t="n">
        <v>227.953</v>
      </c>
      <c r="I49" s="31" t="n">
        <f aca="false">H49-F49</f>
        <v>192.195666666667</v>
      </c>
      <c r="J49" s="26" t="s">
        <v>119</v>
      </c>
    </row>
    <row r="50" customFormat="false" ht="15" hidden="false" customHeight="true" outlineLevel="0" collapsed="false">
      <c r="A50" s="26" t="s">
        <v>117</v>
      </c>
      <c r="B50" s="26" t="s">
        <v>163</v>
      </c>
      <c r="C50" s="41" t="n">
        <v>291.5</v>
      </c>
      <c r="D50" s="31" t="n">
        <v>268.18</v>
      </c>
      <c r="E50" s="31" t="n">
        <v>44.6966666666667</v>
      </c>
      <c r="F50" s="31" t="n">
        <v>35.7573333333333</v>
      </c>
      <c r="G50" s="31" t="n">
        <v>29.7977777777778</v>
      </c>
      <c r="H50" s="31" t="n">
        <v>227.953</v>
      </c>
      <c r="I50" s="31" t="n">
        <f aca="false">H50-F50</f>
        <v>192.195666666667</v>
      </c>
      <c r="J50" s="26" t="s">
        <v>119</v>
      </c>
    </row>
    <row r="51" customFormat="false" ht="15" hidden="false" customHeight="true" outlineLevel="0" collapsed="false">
      <c r="A51" s="26" t="s">
        <v>117</v>
      </c>
      <c r="B51" s="26" t="s">
        <v>164</v>
      </c>
      <c r="C51" s="41" t="n">
        <v>291.5</v>
      </c>
      <c r="D51" s="31" t="n">
        <v>268.18</v>
      </c>
      <c r="E51" s="31" t="n">
        <v>44.6966666666667</v>
      </c>
      <c r="F51" s="31" t="n">
        <v>35.7573333333333</v>
      </c>
      <c r="G51" s="31" t="n">
        <v>29.7977777777778</v>
      </c>
      <c r="H51" s="31" t="n">
        <v>227.953</v>
      </c>
      <c r="I51" s="31" t="n">
        <f aca="false">H51-F51</f>
        <v>192.195666666667</v>
      </c>
      <c r="J51" s="26" t="s">
        <v>119</v>
      </c>
    </row>
    <row r="52" customFormat="false" ht="15" hidden="false" customHeight="true" outlineLevel="0" collapsed="false">
      <c r="A52" s="26" t="s">
        <v>133</v>
      </c>
      <c r="B52" s="26" t="s">
        <v>165</v>
      </c>
      <c r="C52" s="41" t="n">
        <v>290.77</v>
      </c>
      <c r="D52" s="31" t="n">
        <v>267.5084</v>
      </c>
      <c r="E52" s="31" t="n">
        <v>44.5847333333333</v>
      </c>
      <c r="F52" s="31" t="n">
        <v>35.6677866666667</v>
      </c>
      <c r="G52" s="31" t="n">
        <v>29.7231555555555</v>
      </c>
      <c r="H52" s="31" t="n">
        <v>227.38214</v>
      </c>
      <c r="I52" s="31" t="n">
        <f aca="false">H52-F52</f>
        <v>191.714353333333</v>
      </c>
      <c r="J52" s="26" t="s">
        <v>119</v>
      </c>
    </row>
    <row r="53" customFormat="false" ht="15" hidden="false" customHeight="true" outlineLevel="0" collapsed="false">
      <c r="A53" s="25" t="s">
        <v>117</v>
      </c>
      <c r="B53" s="25" t="s">
        <v>166</v>
      </c>
      <c r="C53" s="42" t="n">
        <v>284</v>
      </c>
      <c r="D53" s="43" t="n">
        <v>261.28</v>
      </c>
      <c r="E53" s="43" t="n">
        <v>43.5466666666667</v>
      </c>
      <c r="F53" s="43" t="n">
        <v>34.8373333333333</v>
      </c>
      <c r="G53" s="43" t="n">
        <v>29.0311111111111</v>
      </c>
      <c r="H53" s="43" t="n">
        <v>222.088</v>
      </c>
      <c r="I53" s="43" t="n">
        <f aca="false">H53-F53</f>
        <v>187.250666666667</v>
      </c>
      <c r="J53" s="25" t="s">
        <v>119</v>
      </c>
    </row>
    <row r="54" customFormat="false" ht="15" hidden="false" customHeight="true" outlineLevel="0" collapsed="false">
      <c r="A54" s="26" t="s">
        <v>167</v>
      </c>
      <c r="B54" s="26" t="s">
        <v>168</v>
      </c>
      <c r="C54" s="41" t="n">
        <v>279.95</v>
      </c>
      <c r="D54" s="31" t="n">
        <v>257.554</v>
      </c>
      <c r="E54" s="31" t="n">
        <v>42.9256666666667</v>
      </c>
      <c r="F54" s="31" t="n">
        <v>34.3405333333333</v>
      </c>
      <c r="G54" s="31" t="n">
        <v>28.6171111111111</v>
      </c>
      <c r="H54" s="31" t="n">
        <v>218.9209</v>
      </c>
      <c r="I54" s="31" t="n">
        <f aca="false">H54-F54</f>
        <v>184.580366666667</v>
      </c>
      <c r="J54" s="26" t="s">
        <v>169</v>
      </c>
    </row>
    <row r="55" customFormat="false" ht="15" hidden="false" customHeight="true" outlineLevel="0" collapsed="false">
      <c r="A55" s="25" t="s">
        <v>167</v>
      </c>
      <c r="B55" s="25" t="s">
        <v>170</v>
      </c>
      <c r="C55" s="42" t="n">
        <v>279.95</v>
      </c>
      <c r="D55" s="43" t="n">
        <v>257.554</v>
      </c>
      <c r="E55" s="43" t="n">
        <v>42.9256666666667</v>
      </c>
      <c r="F55" s="43" t="n">
        <v>34.3405333333333</v>
      </c>
      <c r="G55" s="43" t="n">
        <v>28.6171111111111</v>
      </c>
      <c r="H55" s="43" t="n">
        <v>218.9209</v>
      </c>
      <c r="I55" s="43" t="n">
        <f aca="false">H55-F55</f>
        <v>184.580366666667</v>
      </c>
      <c r="J55" s="25" t="s">
        <v>169</v>
      </c>
    </row>
    <row r="56" customFormat="false" ht="15" hidden="false" customHeight="true" outlineLevel="0" collapsed="false">
      <c r="A56" s="26" t="s">
        <v>167</v>
      </c>
      <c r="B56" s="26" t="s">
        <v>171</v>
      </c>
      <c r="C56" s="41" t="n">
        <v>279.95</v>
      </c>
      <c r="D56" s="31" t="n">
        <v>257.554</v>
      </c>
      <c r="E56" s="31" t="n">
        <v>42.9256666666667</v>
      </c>
      <c r="F56" s="31" t="n">
        <v>34.3405333333333</v>
      </c>
      <c r="G56" s="31" t="n">
        <v>28.6171111111111</v>
      </c>
      <c r="H56" s="31" t="n">
        <v>218.9209</v>
      </c>
      <c r="I56" s="31" t="n">
        <f aca="false">H56-F56</f>
        <v>184.580366666667</v>
      </c>
      <c r="J56" s="26" t="s">
        <v>169</v>
      </c>
    </row>
    <row r="57" customFormat="false" ht="15" hidden="false" customHeight="true" outlineLevel="0" collapsed="false">
      <c r="A57" s="25" t="s">
        <v>167</v>
      </c>
      <c r="B57" s="25" t="s">
        <v>172</v>
      </c>
      <c r="C57" s="42" t="n">
        <v>279.95</v>
      </c>
      <c r="D57" s="43" t="n">
        <v>257.554</v>
      </c>
      <c r="E57" s="43" t="n">
        <v>42.9256666666667</v>
      </c>
      <c r="F57" s="43" t="n">
        <v>34.3405333333333</v>
      </c>
      <c r="G57" s="43" t="n">
        <v>28.6171111111111</v>
      </c>
      <c r="H57" s="43" t="n">
        <v>218.9209</v>
      </c>
      <c r="I57" s="43" t="n">
        <f aca="false">H57-F57</f>
        <v>184.580366666667</v>
      </c>
      <c r="J57" s="25" t="s">
        <v>169</v>
      </c>
    </row>
    <row r="58" customFormat="false" ht="15" hidden="false" customHeight="true" outlineLevel="0" collapsed="false">
      <c r="A58" s="26" t="s">
        <v>167</v>
      </c>
      <c r="B58" s="26" t="s">
        <v>173</v>
      </c>
      <c r="C58" s="41" t="n">
        <v>279.95</v>
      </c>
      <c r="D58" s="31" t="n">
        <v>257.554</v>
      </c>
      <c r="E58" s="31" t="n">
        <v>42.9256666666667</v>
      </c>
      <c r="F58" s="31" t="n">
        <v>34.3405333333333</v>
      </c>
      <c r="G58" s="31" t="n">
        <v>28.6171111111111</v>
      </c>
      <c r="H58" s="31" t="n">
        <v>218.9209</v>
      </c>
      <c r="I58" s="31" t="n">
        <f aca="false">H58-F58</f>
        <v>184.580366666667</v>
      </c>
      <c r="J58" s="26" t="s">
        <v>169</v>
      </c>
    </row>
    <row r="59" customFormat="false" ht="15" hidden="false" customHeight="true" outlineLevel="0" collapsed="false">
      <c r="A59" s="25" t="s">
        <v>167</v>
      </c>
      <c r="B59" s="25" t="s">
        <v>174</v>
      </c>
      <c r="C59" s="42" t="n">
        <v>279.95</v>
      </c>
      <c r="D59" s="43" t="n">
        <v>257.554</v>
      </c>
      <c r="E59" s="43" t="n">
        <v>42.9256666666667</v>
      </c>
      <c r="F59" s="43" t="n">
        <v>34.3405333333333</v>
      </c>
      <c r="G59" s="43" t="n">
        <v>28.6171111111111</v>
      </c>
      <c r="H59" s="43" t="n">
        <v>218.9209</v>
      </c>
      <c r="I59" s="43" t="n">
        <f aca="false">H59-F59</f>
        <v>184.580366666667</v>
      </c>
      <c r="J59" s="25" t="s">
        <v>169</v>
      </c>
    </row>
    <row r="60" customFormat="false" ht="15" hidden="false" customHeight="true" outlineLevel="0" collapsed="false">
      <c r="A60" s="26" t="s">
        <v>167</v>
      </c>
      <c r="B60" s="26" t="s">
        <v>175</v>
      </c>
      <c r="C60" s="41" t="n">
        <v>279.95</v>
      </c>
      <c r="D60" s="31" t="n">
        <v>257.554</v>
      </c>
      <c r="E60" s="31" t="n">
        <v>42.9256666666667</v>
      </c>
      <c r="F60" s="31" t="n">
        <v>34.3405333333333</v>
      </c>
      <c r="G60" s="31" t="n">
        <v>28.6171111111111</v>
      </c>
      <c r="H60" s="31" t="n">
        <v>218.9209</v>
      </c>
      <c r="I60" s="31" t="n">
        <f aca="false">H60-F60</f>
        <v>184.580366666667</v>
      </c>
      <c r="J60" s="26" t="s">
        <v>169</v>
      </c>
    </row>
    <row r="61" customFormat="false" ht="15" hidden="false" customHeight="true" outlineLevel="0" collapsed="false">
      <c r="A61" s="25" t="s">
        <v>167</v>
      </c>
      <c r="B61" s="25" t="s">
        <v>176</v>
      </c>
      <c r="C61" s="42" t="n">
        <v>279.95</v>
      </c>
      <c r="D61" s="43" t="n">
        <v>257.554</v>
      </c>
      <c r="E61" s="43" t="n">
        <v>42.9256666666667</v>
      </c>
      <c r="F61" s="43" t="n">
        <v>34.3405333333333</v>
      </c>
      <c r="G61" s="43" t="n">
        <v>28.6171111111111</v>
      </c>
      <c r="H61" s="43" t="n">
        <v>218.9209</v>
      </c>
      <c r="I61" s="43" t="n">
        <f aca="false">H61-F61</f>
        <v>184.580366666667</v>
      </c>
      <c r="J61" s="25" t="s">
        <v>169</v>
      </c>
    </row>
    <row r="62" customFormat="false" ht="15" hidden="false" customHeight="true" outlineLevel="0" collapsed="false">
      <c r="A62" s="26" t="s">
        <v>167</v>
      </c>
      <c r="B62" s="26" t="s">
        <v>177</v>
      </c>
      <c r="C62" s="41" t="n">
        <v>279.95</v>
      </c>
      <c r="D62" s="31" t="n">
        <v>257.554</v>
      </c>
      <c r="E62" s="31" t="n">
        <v>42.9256666666667</v>
      </c>
      <c r="F62" s="31" t="n">
        <v>34.3405333333333</v>
      </c>
      <c r="G62" s="31" t="n">
        <v>28.6171111111111</v>
      </c>
      <c r="H62" s="31" t="n">
        <v>218.9209</v>
      </c>
      <c r="I62" s="31" t="n">
        <f aca="false">H62-F62</f>
        <v>184.580366666667</v>
      </c>
      <c r="J62" s="26" t="s">
        <v>169</v>
      </c>
    </row>
    <row r="63" customFormat="false" ht="15" hidden="false" customHeight="true" outlineLevel="0" collapsed="false">
      <c r="A63" s="25" t="s">
        <v>167</v>
      </c>
      <c r="B63" s="25" t="s">
        <v>178</v>
      </c>
      <c r="C63" s="42" t="n">
        <v>279.95</v>
      </c>
      <c r="D63" s="43" t="n">
        <v>257.554</v>
      </c>
      <c r="E63" s="43" t="n">
        <v>42.9256666666667</v>
      </c>
      <c r="F63" s="43" t="n">
        <v>34.3405333333333</v>
      </c>
      <c r="G63" s="43" t="n">
        <v>28.6171111111111</v>
      </c>
      <c r="H63" s="43" t="n">
        <v>218.9209</v>
      </c>
      <c r="I63" s="43" t="n">
        <f aca="false">H63-F63</f>
        <v>184.580366666667</v>
      </c>
      <c r="J63" s="25" t="s">
        <v>169</v>
      </c>
    </row>
    <row r="64" customFormat="false" ht="15" hidden="false" customHeight="true" outlineLevel="0" collapsed="false">
      <c r="A64" s="26" t="s">
        <v>167</v>
      </c>
      <c r="B64" s="26" t="s">
        <v>179</v>
      </c>
      <c r="C64" s="41" t="n">
        <v>279.95</v>
      </c>
      <c r="D64" s="31" t="n">
        <v>257.554</v>
      </c>
      <c r="E64" s="31" t="n">
        <v>42.9256666666667</v>
      </c>
      <c r="F64" s="31" t="n">
        <v>34.3405333333333</v>
      </c>
      <c r="G64" s="31" t="n">
        <v>28.6171111111111</v>
      </c>
      <c r="H64" s="31" t="n">
        <v>218.9209</v>
      </c>
      <c r="I64" s="31" t="n">
        <f aca="false">H64-F64</f>
        <v>184.580366666667</v>
      </c>
      <c r="J64" s="26" t="s">
        <v>169</v>
      </c>
    </row>
    <row r="65" customFormat="false" ht="15" hidden="false" customHeight="true" outlineLevel="0" collapsed="false">
      <c r="A65" s="25" t="s">
        <v>167</v>
      </c>
      <c r="B65" s="25" t="s">
        <v>180</v>
      </c>
      <c r="C65" s="42" t="n">
        <v>279.95</v>
      </c>
      <c r="D65" s="43" t="n">
        <v>257.554</v>
      </c>
      <c r="E65" s="43" t="n">
        <v>42.9256666666667</v>
      </c>
      <c r="F65" s="43" t="n">
        <v>34.3405333333333</v>
      </c>
      <c r="G65" s="43" t="n">
        <v>28.6171111111111</v>
      </c>
      <c r="H65" s="43" t="n">
        <v>218.9209</v>
      </c>
      <c r="I65" s="43" t="n">
        <f aca="false">H65-F65</f>
        <v>184.580366666667</v>
      </c>
      <c r="J65" s="25" t="s">
        <v>169</v>
      </c>
    </row>
    <row r="66" customFormat="false" ht="15" hidden="false" customHeight="true" outlineLevel="0" collapsed="false">
      <c r="A66" s="26" t="s">
        <v>167</v>
      </c>
      <c r="B66" s="26" t="s">
        <v>181</v>
      </c>
      <c r="C66" s="41" t="n">
        <v>279.95</v>
      </c>
      <c r="D66" s="31" t="n">
        <v>257.554</v>
      </c>
      <c r="E66" s="31" t="n">
        <v>42.9256666666667</v>
      </c>
      <c r="F66" s="31" t="n">
        <v>34.3405333333333</v>
      </c>
      <c r="G66" s="31" t="n">
        <v>28.6171111111111</v>
      </c>
      <c r="H66" s="31" t="n">
        <v>218.9209</v>
      </c>
      <c r="I66" s="31" t="n">
        <f aca="false">H66-F66</f>
        <v>184.580366666667</v>
      </c>
      <c r="J66" s="26" t="s">
        <v>169</v>
      </c>
    </row>
    <row r="67" customFormat="false" ht="15" hidden="false" customHeight="true" outlineLevel="0" collapsed="false">
      <c r="A67" s="25" t="s">
        <v>167</v>
      </c>
      <c r="B67" s="25" t="s">
        <v>182</v>
      </c>
      <c r="C67" s="42" t="n">
        <v>279.95</v>
      </c>
      <c r="D67" s="43" t="n">
        <v>257.554</v>
      </c>
      <c r="E67" s="43" t="n">
        <v>42.9256666666667</v>
      </c>
      <c r="F67" s="43" t="n">
        <v>34.3405333333333</v>
      </c>
      <c r="G67" s="43" t="n">
        <v>28.6171111111111</v>
      </c>
      <c r="H67" s="43" t="n">
        <v>218.9209</v>
      </c>
      <c r="I67" s="43" t="n">
        <f aca="false">H67-F67</f>
        <v>184.580366666667</v>
      </c>
      <c r="J67" s="25" t="s">
        <v>169</v>
      </c>
    </row>
    <row r="68" customFormat="false" ht="15" hidden="false" customHeight="true" outlineLevel="0" collapsed="false">
      <c r="A68" s="26" t="s">
        <v>167</v>
      </c>
      <c r="B68" s="26" t="s">
        <v>183</v>
      </c>
      <c r="C68" s="41" t="n">
        <v>279.95</v>
      </c>
      <c r="D68" s="31" t="n">
        <v>257.554</v>
      </c>
      <c r="E68" s="31" t="n">
        <v>42.9256666666667</v>
      </c>
      <c r="F68" s="31" t="n">
        <v>34.3405333333333</v>
      </c>
      <c r="G68" s="31" t="n">
        <v>28.6171111111111</v>
      </c>
      <c r="H68" s="31" t="n">
        <v>218.9209</v>
      </c>
      <c r="I68" s="31" t="n">
        <f aca="false">H68-F68</f>
        <v>184.580366666667</v>
      </c>
      <c r="J68" s="26" t="s">
        <v>169</v>
      </c>
    </row>
    <row r="69" customFormat="false" ht="15" hidden="false" customHeight="true" outlineLevel="0" collapsed="false">
      <c r="A69" s="25" t="s">
        <v>167</v>
      </c>
      <c r="B69" s="25" t="s">
        <v>184</v>
      </c>
      <c r="C69" s="42" t="n">
        <v>279.95</v>
      </c>
      <c r="D69" s="43" t="n">
        <v>257.554</v>
      </c>
      <c r="E69" s="43" t="n">
        <v>42.9256666666667</v>
      </c>
      <c r="F69" s="43" t="n">
        <v>34.3405333333333</v>
      </c>
      <c r="G69" s="43" t="n">
        <v>28.6171111111111</v>
      </c>
      <c r="H69" s="43" t="n">
        <v>218.9209</v>
      </c>
      <c r="I69" s="43" t="n">
        <f aca="false">H69-F69</f>
        <v>184.580366666667</v>
      </c>
      <c r="J69" s="25" t="s">
        <v>169</v>
      </c>
    </row>
    <row r="70" customFormat="false" ht="15" hidden="false" customHeight="true" outlineLevel="0" collapsed="false">
      <c r="A70" s="26" t="s">
        <v>167</v>
      </c>
      <c r="B70" s="26" t="s">
        <v>185</v>
      </c>
      <c r="C70" s="41" t="n">
        <v>279.95</v>
      </c>
      <c r="D70" s="31" t="n">
        <v>257.554</v>
      </c>
      <c r="E70" s="31" t="n">
        <v>42.9256666666667</v>
      </c>
      <c r="F70" s="31" t="n">
        <v>34.3405333333333</v>
      </c>
      <c r="G70" s="31" t="n">
        <v>28.6171111111111</v>
      </c>
      <c r="H70" s="31" t="n">
        <v>218.9209</v>
      </c>
      <c r="I70" s="31" t="n">
        <f aca="false">H70-F70</f>
        <v>184.580366666667</v>
      </c>
      <c r="J70" s="26" t="s">
        <v>169</v>
      </c>
    </row>
    <row r="71" customFormat="false" ht="15" hidden="false" customHeight="true" outlineLevel="0" collapsed="false">
      <c r="A71" s="25" t="s">
        <v>167</v>
      </c>
      <c r="B71" s="25" t="s">
        <v>186</v>
      </c>
      <c r="C71" s="42" t="n">
        <v>279.95</v>
      </c>
      <c r="D71" s="43" t="n">
        <v>257.554</v>
      </c>
      <c r="E71" s="43" t="n">
        <v>42.9256666666667</v>
      </c>
      <c r="F71" s="43" t="n">
        <v>34.3405333333333</v>
      </c>
      <c r="G71" s="43" t="n">
        <v>28.6171111111111</v>
      </c>
      <c r="H71" s="43" t="n">
        <v>218.9209</v>
      </c>
      <c r="I71" s="43" t="n">
        <f aca="false">H71-F71</f>
        <v>184.580366666667</v>
      </c>
      <c r="J71" s="25" t="s">
        <v>169</v>
      </c>
    </row>
    <row r="72" customFormat="false" ht="15" hidden="false" customHeight="true" outlineLevel="0" collapsed="false">
      <c r="A72" s="26" t="s">
        <v>167</v>
      </c>
      <c r="B72" s="26" t="s">
        <v>187</v>
      </c>
      <c r="C72" s="41" t="n">
        <v>279.95</v>
      </c>
      <c r="D72" s="31" t="n">
        <v>257.554</v>
      </c>
      <c r="E72" s="31" t="n">
        <v>42.9256666666667</v>
      </c>
      <c r="F72" s="31" t="n">
        <v>34.3405333333333</v>
      </c>
      <c r="G72" s="31" t="n">
        <v>28.6171111111111</v>
      </c>
      <c r="H72" s="31" t="n">
        <v>218.9209</v>
      </c>
      <c r="I72" s="31" t="n">
        <f aca="false">H72-F72</f>
        <v>184.580366666667</v>
      </c>
      <c r="J72" s="26" t="s">
        <v>169</v>
      </c>
    </row>
    <row r="73" customFormat="false" ht="15" hidden="false" customHeight="true" outlineLevel="0" collapsed="false">
      <c r="A73" s="25" t="s">
        <v>167</v>
      </c>
      <c r="B73" s="25" t="s">
        <v>188</v>
      </c>
      <c r="C73" s="42" t="n">
        <v>279.95</v>
      </c>
      <c r="D73" s="43" t="n">
        <v>257.554</v>
      </c>
      <c r="E73" s="43" t="n">
        <v>42.9256666666667</v>
      </c>
      <c r="F73" s="43" t="n">
        <v>34.3405333333333</v>
      </c>
      <c r="G73" s="43" t="n">
        <v>28.6171111111111</v>
      </c>
      <c r="H73" s="43" t="n">
        <v>218.9209</v>
      </c>
      <c r="I73" s="43" t="n">
        <f aca="false">H73-F73</f>
        <v>184.580366666667</v>
      </c>
      <c r="J73" s="25" t="s">
        <v>169</v>
      </c>
    </row>
    <row r="74" customFormat="false" ht="15" hidden="false" customHeight="true" outlineLevel="0" collapsed="false">
      <c r="A74" s="26" t="s">
        <v>167</v>
      </c>
      <c r="B74" s="26" t="s">
        <v>189</v>
      </c>
      <c r="C74" s="41" t="n">
        <v>279.95</v>
      </c>
      <c r="D74" s="31" t="n">
        <v>257.554</v>
      </c>
      <c r="E74" s="31" t="n">
        <v>42.9256666666667</v>
      </c>
      <c r="F74" s="31" t="n">
        <v>34.3405333333333</v>
      </c>
      <c r="G74" s="31" t="n">
        <v>28.6171111111111</v>
      </c>
      <c r="H74" s="31" t="n">
        <v>218.9209</v>
      </c>
      <c r="I74" s="31" t="n">
        <f aca="false">H74-F74</f>
        <v>184.580366666667</v>
      </c>
      <c r="J74" s="26" t="s">
        <v>169</v>
      </c>
    </row>
    <row r="75" customFormat="false" ht="15" hidden="false" customHeight="true" outlineLevel="0" collapsed="false">
      <c r="A75" s="25" t="s">
        <v>167</v>
      </c>
      <c r="B75" s="25" t="s">
        <v>190</v>
      </c>
      <c r="C75" s="42" t="n">
        <v>279.95</v>
      </c>
      <c r="D75" s="43" t="n">
        <v>257.554</v>
      </c>
      <c r="E75" s="43" t="n">
        <v>42.9256666666667</v>
      </c>
      <c r="F75" s="43" t="n">
        <v>34.3405333333333</v>
      </c>
      <c r="G75" s="43" t="n">
        <v>28.6171111111111</v>
      </c>
      <c r="H75" s="43" t="n">
        <v>218.9209</v>
      </c>
      <c r="I75" s="43" t="n">
        <f aca="false">H75-F75</f>
        <v>184.580366666667</v>
      </c>
      <c r="J75" s="25" t="s">
        <v>169</v>
      </c>
    </row>
    <row r="76" customFormat="false" ht="15" hidden="false" customHeight="true" outlineLevel="0" collapsed="false">
      <c r="A76" s="26" t="s">
        <v>167</v>
      </c>
      <c r="B76" s="26" t="s">
        <v>191</v>
      </c>
      <c r="C76" s="41" t="n">
        <v>279.95</v>
      </c>
      <c r="D76" s="31" t="n">
        <v>257.554</v>
      </c>
      <c r="E76" s="31" t="n">
        <v>42.9256666666667</v>
      </c>
      <c r="F76" s="31" t="n">
        <v>34.3405333333333</v>
      </c>
      <c r="G76" s="31" t="n">
        <v>28.6171111111111</v>
      </c>
      <c r="H76" s="31" t="n">
        <v>218.9209</v>
      </c>
      <c r="I76" s="31" t="n">
        <f aca="false">H76-F76</f>
        <v>184.580366666667</v>
      </c>
      <c r="J76" s="26" t="s">
        <v>169</v>
      </c>
    </row>
    <row r="77" customFormat="false" ht="15" hidden="false" customHeight="true" outlineLevel="0" collapsed="false">
      <c r="A77" s="25" t="s">
        <v>167</v>
      </c>
      <c r="B77" s="25" t="s">
        <v>192</v>
      </c>
      <c r="C77" s="42" t="n">
        <v>279.95</v>
      </c>
      <c r="D77" s="43" t="n">
        <v>257.554</v>
      </c>
      <c r="E77" s="43" t="n">
        <v>42.9256666666667</v>
      </c>
      <c r="F77" s="43" t="n">
        <v>34.3405333333333</v>
      </c>
      <c r="G77" s="43" t="n">
        <v>28.6171111111111</v>
      </c>
      <c r="H77" s="43" t="n">
        <v>218.9209</v>
      </c>
      <c r="I77" s="43" t="n">
        <f aca="false">H77-F77</f>
        <v>184.580366666667</v>
      </c>
      <c r="J77" s="25" t="s">
        <v>169</v>
      </c>
    </row>
    <row r="78" customFormat="false" ht="15" hidden="false" customHeight="true" outlineLevel="0" collapsed="false">
      <c r="A78" s="26" t="s">
        <v>167</v>
      </c>
      <c r="B78" s="26" t="s">
        <v>193</v>
      </c>
      <c r="C78" s="41" t="n">
        <v>279.95</v>
      </c>
      <c r="D78" s="31" t="n">
        <v>257.554</v>
      </c>
      <c r="E78" s="31" t="n">
        <v>42.9256666666667</v>
      </c>
      <c r="F78" s="31" t="n">
        <v>34.3405333333333</v>
      </c>
      <c r="G78" s="31" t="n">
        <v>28.6171111111111</v>
      </c>
      <c r="H78" s="31" t="n">
        <v>218.9209</v>
      </c>
      <c r="I78" s="31" t="n">
        <f aca="false">H78-F78</f>
        <v>184.580366666667</v>
      </c>
      <c r="J78" s="26" t="s">
        <v>169</v>
      </c>
    </row>
    <row r="79" customFormat="false" ht="15" hidden="false" customHeight="true" outlineLevel="0" collapsed="false">
      <c r="A79" s="25" t="s">
        <v>167</v>
      </c>
      <c r="B79" s="25" t="s">
        <v>194</v>
      </c>
      <c r="C79" s="42" t="n">
        <v>279.95</v>
      </c>
      <c r="D79" s="43" t="n">
        <v>257.554</v>
      </c>
      <c r="E79" s="43" t="n">
        <v>42.9256666666667</v>
      </c>
      <c r="F79" s="43" t="n">
        <v>34.3405333333333</v>
      </c>
      <c r="G79" s="43" t="n">
        <v>28.6171111111111</v>
      </c>
      <c r="H79" s="43" t="n">
        <v>218.9209</v>
      </c>
      <c r="I79" s="43" t="n">
        <f aca="false">H79-F79</f>
        <v>184.580366666667</v>
      </c>
      <c r="J79" s="25" t="s">
        <v>169</v>
      </c>
    </row>
    <row r="80" customFormat="false" ht="15" hidden="false" customHeight="true" outlineLevel="0" collapsed="false">
      <c r="A80" s="26" t="s">
        <v>167</v>
      </c>
      <c r="B80" s="26" t="s">
        <v>195</v>
      </c>
      <c r="C80" s="41" t="n">
        <v>279.95</v>
      </c>
      <c r="D80" s="31" t="n">
        <v>257.554</v>
      </c>
      <c r="E80" s="31" t="n">
        <v>42.9256666666667</v>
      </c>
      <c r="F80" s="31" t="n">
        <v>34.3405333333333</v>
      </c>
      <c r="G80" s="31" t="n">
        <v>28.6171111111111</v>
      </c>
      <c r="H80" s="31" t="n">
        <v>218.9209</v>
      </c>
      <c r="I80" s="31" t="n">
        <f aca="false">H80-F80</f>
        <v>184.580366666667</v>
      </c>
      <c r="J80" s="26" t="s">
        <v>169</v>
      </c>
    </row>
    <row r="81" customFormat="false" ht="15" hidden="false" customHeight="true" outlineLevel="0" collapsed="false">
      <c r="A81" s="25" t="s">
        <v>167</v>
      </c>
      <c r="B81" s="25" t="s">
        <v>196</v>
      </c>
      <c r="C81" s="42" t="n">
        <v>279.95</v>
      </c>
      <c r="D81" s="43" t="n">
        <v>257.554</v>
      </c>
      <c r="E81" s="43" t="n">
        <v>42.9256666666667</v>
      </c>
      <c r="F81" s="43" t="n">
        <v>34.3405333333333</v>
      </c>
      <c r="G81" s="43" t="n">
        <v>28.6171111111111</v>
      </c>
      <c r="H81" s="43" t="n">
        <v>218.9209</v>
      </c>
      <c r="I81" s="43" t="n">
        <f aca="false">H81-F81</f>
        <v>184.580366666667</v>
      </c>
      <c r="J81" s="25" t="s">
        <v>169</v>
      </c>
    </row>
    <row r="82" customFormat="false" ht="15" hidden="false" customHeight="true" outlineLevel="0" collapsed="false">
      <c r="A82" s="26" t="s">
        <v>167</v>
      </c>
      <c r="B82" s="26" t="s">
        <v>197</v>
      </c>
      <c r="C82" s="41" t="n">
        <v>279.95</v>
      </c>
      <c r="D82" s="31" t="n">
        <v>257.554</v>
      </c>
      <c r="E82" s="31" t="n">
        <v>42.9256666666667</v>
      </c>
      <c r="F82" s="31" t="n">
        <v>34.3405333333333</v>
      </c>
      <c r="G82" s="31" t="n">
        <v>28.6171111111111</v>
      </c>
      <c r="H82" s="31" t="n">
        <v>218.9209</v>
      </c>
      <c r="I82" s="31" t="n">
        <f aca="false">H82-F82</f>
        <v>184.580366666667</v>
      </c>
      <c r="J82" s="26" t="s">
        <v>169</v>
      </c>
    </row>
    <row r="83" customFormat="false" ht="15" hidden="false" customHeight="true" outlineLevel="0" collapsed="false">
      <c r="A83" s="25" t="s">
        <v>167</v>
      </c>
      <c r="B83" s="25" t="s">
        <v>198</v>
      </c>
      <c r="C83" s="42" t="n">
        <v>279.95</v>
      </c>
      <c r="D83" s="43" t="n">
        <v>257.554</v>
      </c>
      <c r="E83" s="43" t="n">
        <v>42.9256666666667</v>
      </c>
      <c r="F83" s="43" t="n">
        <v>34.3405333333333</v>
      </c>
      <c r="G83" s="43" t="n">
        <v>28.6171111111111</v>
      </c>
      <c r="H83" s="43" t="n">
        <v>218.9209</v>
      </c>
      <c r="I83" s="43" t="n">
        <f aca="false">H83-F83</f>
        <v>184.580366666667</v>
      </c>
      <c r="J83" s="25" t="s">
        <v>169</v>
      </c>
    </row>
    <row r="84" customFormat="false" ht="15" hidden="false" customHeight="true" outlineLevel="0" collapsed="false">
      <c r="A84" s="26" t="s">
        <v>167</v>
      </c>
      <c r="B84" s="26" t="s">
        <v>199</v>
      </c>
      <c r="C84" s="41" t="n">
        <v>279.95</v>
      </c>
      <c r="D84" s="31" t="n">
        <v>257.554</v>
      </c>
      <c r="E84" s="31" t="n">
        <v>42.9256666666667</v>
      </c>
      <c r="F84" s="31" t="n">
        <v>34.3405333333333</v>
      </c>
      <c r="G84" s="31" t="n">
        <v>28.6171111111111</v>
      </c>
      <c r="H84" s="31" t="n">
        <v>218.9209</v>
      </c>
      <c r="I84" s="31" t="n">
        <f aca="false">H84-F84</f>
        <v>184.580366666667</v>
      </c>
      <c r="J84" s="26" t="s">
        <v>169</v>
      </c>
    </row>
    <row r="85" customFormat="false" ht="15" hidden="false" customHeight="true" outlineLevel="0" collapsed="false">
      <c r="A85" s="25" t="s">
        <v>167</v>
      </c>
      <c r="B85" s="25" t="s">
        <v>200</v>
      </c>
      <c r="C85" s="42" t="n">
        <v>279.95</v>
      </c>
      <c r="D85" s="43" t="n">
        <v>257.554</v>
      </c>
      <c r="E85" s="43" t="n">
        <v>42.9256666666667</v>
      </c>
      <c r="F85" s="43" t="n">
        <v>34.3405333333333</v>
      </c>
      <c r="G85" s="43" t="n">
        <v>28.6171111111111</v>
      </c>
      <c r="H85" s="43" t="n">
        <v>218.9209</v>
      </c>
      <c r="I85" s="43" t="n">
        <f aca="false">H85-F85</f>
        <v>184.580366666667</v>
      </c>
      <c r="J85" s="25" t="s">
        <v>169</v>
      </c>
    </row>
    <row r="86" customFormat="false" ht="15" hidden="false" customHeight="true" outlineLevel="0" collapsed="false">
      <c r="A86" s="25" t="s">
        <v>117</v>
      </c>
      <c r="B86" s="25" t="s">
        <v>158</v>
      </c>
      <c r="C86" s="42" t="n">
        <v>278.5</v>
      </c>
      <c r="D86" s="43" t="n">
        <v>256.22</v>
      </c>
      <c r="E86" s="43" t="n">
        <v>42.7033333333333</v>
      </c>
      <c r="F86" s="43" t="n">
        <v>34.1626666666667</v>
      </c>
      <c r="G86" s="43" t="n">
        <v>28.4688888888889</v>
      </c>
      <c r="H86" s="43" t="n">
        <v>217.787</v>
      </c>
      <c r="I86" s="43" t="n">
        <f aca="false">H86-F86</f>
        <v>183.624333333333</v>
      </c>
      <c r="J86" s="25" t="s">
        <v>119</v>
      </c>
    </row>
    <row r="87" customFormat="false" ht="15" hidden="false" customHeight="true" outlineLevel="0" collapsed="false">
      <c r="A87" s="26" t="s">
        <v>117</v>
      </c>
      <c r="B87" s="26" t="s">
        <v>201</v>
      </c>
      <c r="C87" s="41" t="n">
        <v>275.55</v>
      </c>
      <c r="D87" s="31" t="n">
        <v>253.506</v>
      </c>
      <c r="E87" s="31" t="n">
        <v>42.251</v>
      </c>
      <c r="F87" s="31" t="n">
        <v>33.8008</v>
      </c>
      <c r="G87" s="31" t="n">
        <v>28.1673333333333</v>
      </c>
      <c r="H87" s="31" t="n">
        <v>215.4801</v>
      </c>
      <c r="I87" s="31" t="n">
        <f aca="false">H87-F87</f>
        <v>181.6793</v>
      </c>
      <c r="J87" s="26" t="s">
        <v>119</v>
      </c>
    </row>
    <row r="88" customFormat="false" ht="15" hidden="false" customHeight="true" outlineLevel="0" collapsed="false">
      <c r="A88" s="25" t="s">
        <v>117</v>
      </c>
      <c r="B88" s="25" t="s">
        <v>202</v>
      </c>
      <c r="C88" s="42" t="n">
        <v>269.34</v>
      </c>
      <c r="D88" s="43" t="n">
        <v>247.7928</v>
      </c>
      <c r="E88" s="43" t="n">
        <v>41.2988</v>
      </c>
      <c r="F88" s="43" t="n">
        <v>33.03904</v>
      </c>
      <c r="G88" s="43" t="n">
        <v>27.5325333333333</v>
      </c>
      <c r="H88" s="43" t="n">
        <v>210.62388</v>
      </c>
      <c r="I88" s="43" t="n">
        <f aca="false">H88-F88</f>
        <v>177.58484</v>
      </c>
      <c r="J88" s="25" t="s">
        <v>119</v>
      </c>
    </row>
    <row r="89" customFormat="false" ht="15" hidden="false" customHeight="true" outlineLevel="0" collapsed="false">
      <c r="A89" s="25" t="s">
        <v>203</v>
      </c>
      <c r="B89" s="25" t="s">
        <v>204</v>
      </c>
      <c r="C89" s="42" t="n">
        <v>268.95</v>
      </c>
      <c r="D89" s="43" t="n">
        <v>247.434</v>
      </c>
      <c r="E89" s="43" t="n">
        <v>41.239</v>
      </c>
      <c r="F89" s="43" t="n">
        <v>32.9912</v>
      </c>
      <c r="G89" s="43" t="n">
        <v>27.4926666666667</v>
      </c>
      <c r="H89" s="43" t="n">
        <v>210.3189</v>
      </c>
      <c r="I89" s="43" t="n">
        <f aca="false">H89-F89</f>
        <v>177.3277</v>
      </c>
      <c r="J89" s="25" t="s">
        <v>169</v>
      </c>
    </row>
    <row r="90" customFormat="false" ht="15" hidden="false" customHeight="true" outlineLevel="0" collapsed="false">
      <c r="A90" s="26" t="s">
        <v>203</v>
      </c>
      <c r="B90" s="26" t="s">
        <v>205</v>
      </c>
      <c r="C90" s="41" t="n">
        <v>268.95</v>
      </c>
      <c r="D90" s="31" t="n">
        <v>247.434</v>
      </c>
      <c r="E90" s="31" t="n">
        <v>41.239</v>
      </c>
      <c r="F90" s="31" t="n">
        <v>32.9912</v>
      </c>
      <c r="G90" s="31" t="n">
        <v>27.4926666666667</v>
      </c>
      <c r="H90" s="31" t="n">
        <v>210.3189</v>
      </c>
      <c r="I90" s="31" t="n">
        <f aca="false">H90-F90</f>
        <v>177.3277</v>
      </c>
      <c r="J90" s="26" t="s">
        <v>169</v>
      </c>
    </row>
    <row r="91" customFormat="false" ht="15" hidden="false" customHeight="true" outlineLevel="0" collapsed="false">
      <c r="A91" s="25" t="s">
        <v>203</v>
      </c>
      <c r="B91" s="25" t="s">
        <v>206</v>
      </c>
      <c r="C91" s="42" t="n">
        <v>268.95</v>
      </c>
      <c r="D91" s="43" t="n">
        <v>247.434</v>
      </c>
      <c r="E91" s="43" t="n">
        <v>41.239</v>
      </c>
      <c r="F91" s="43" t="n">
        <v>32.9912</v>
      </c>
      <c r="G91" s="43" t="n">
        <v>27.4926666666667</v>
      </c>
      <c r="H91" s="43" t="n">
        <v>210.3189</v>
      </c>
      <c r="I91" s="43" t="n">
        <f aca="false">H91-F91</f>
        <v>177.3277</v>
      </c>
      <c r="J91" s="25" t="s">
        <v>169</v>
      </c>
    </row>
    <row r="92" customFormat="false" ht="15" hidden="false" customHeight="true" outlineLevel="0" collapsed="false">
      <c r="A92" s="25" t="s">
        <v>133</v>
      </c>
      <c r="B92" s="25" t="s">
        <v>207</v>
      </c>
      <c r="C92" s="42" t="n">
        <v>262</v>
      </c>
      <c r="D92" s="43" t="n">
        <v>241.04</v>
      </c>
      <c r="E92" s="43" t="n">
        <v>40.1733333333333</v>
      </c>
      <c r="F92" s="43" t="n">
        <v>32.1386666666667</v>
      </c>
      <c r="G92" s="43" t="n">
        <v>26.7822222222222</v>
      </c>
      <c r="H92" s="43" t="n">
        <v>204.884</v>
      </c>
      <c r="I92" s="43" t="n">
        <f aca="false">H92-F92</f>
        <v>172.745333333333</v>
      </c>
      <c r="J92" s="25" t="s">
        <v>119</v>
      </c>
    </row>
    <row r="93" customFormat="false" ht="15" hidden="false" customHeight="true" outlineLevel="0" collapsed="false">
      <c r="A93" s="25" t="s">
        <v>117</v>
      </c>
      <c r="B93" s="25" t="s">
        <v>208</v>
      </c>
      <c r="C93" s="42" t="n">
        <v>261.5</v>
      </c>
      <c r="D93" s="43" t="n">
        <v>240.58</v>
      </c>
      <c r="E93" s="43" t="n">
        <v>40.0966666666667</v>
      </c>
      <c r="F93" s="43" t="n">
        <v>32.0773333333333</v>
      </c>
      <c r="G93" s="43" t="n">
        <v>26.7311111111111</v>
      </c>
      <c r="H93" s="43" t="n">
        <v>204.493</v>
      </c>
      <c r="I93" s="43" t="n">
        <f aca="false">H93-F93</f>
        <v>172.415666666667</v>
      </c>
      <c r="J93" s="25" t="s">
        <v>119</v>
      </c>
    </row>
    <row r="94" customFormat="false" ht="15" hidden="false" customHeight="true" outlineLevel="0" collapsed="false">
      <c r="A94" s="26" t="s">
        <v>117</v>
      </c>
      <c r="B94" s="26" t="s">
        <v>209</v>
      </c>
      <c r="C94" s="41" t="n">
        <v>255.5</v>
      </c>
      <c r="D94" s="31" t="n">
        <v>235.06</v>
      </c>
      <c r="E94" s="31" t="n">
        <v>39.1766666666667</v>
      </c>
      <c r="F94" s="31" t="n">
        <v>31.3413333333333</v>
      </c>
      <c r="G94" s="31" t="n">
        <v>26.1177777777778</v>
      </c>
      <c r="H94" s="31" t="n">
        <v>199.801</v>
      </c>
      <c r="I94" s="31" t="n">
        <f aca="false">H94-F94</f>
        <v>168.459666666667</v>
      </c>
      <c r="J94" s="26" t="s">
        <v>119</v>
      </c>
    </row>
    <row r="95" customFormat="false" ht="15" hidden="false" customHeight="true" outlineLevel="0" collapsed="false">
      <c r="A95" s="25" t="s">
        <v>133</v>
      </c>
      <c r="B95" s="25" t="s">
        <v>210</v>
      </c>
      <c r="C95" s="42" t="n">
        <v>255</v>
      </c>
      <c r="D95" s="43" t="n">
        <v>234.6</v>
      </c>
      <c r="E95" s="43" t="n">
        <v>39.1</v>
      </c>
      <c r="F95" s="43" t="n">
        <v>31.28</v>
      </c>
      <c r="G95" s="43" t="n">
        <v>26.0666666666667</v>
      </c>
      <c r="H95" s="43" t="n">
        <v>199.41</v>
      </c>
      <c r="I95" s="43" t="n">
        <f aca="false">H95-F95</f>
        <v>168.13</v>
      </c>
      <c r="J95" s="25" t="s">
        <v>119</v>
      </c>
    </row>
    <row r="96" customFormat="false" ht="15" hidden="false" customHeight="true" outlineLevel="0" collapsed="false">
      <c r="A96" s="25" t="s">
        <v>154</v>
      </c>
      <c r="B96" s="25" t="s">
        <v>211</v>
      </c>
      <c r="C96" s="42" t="n">
        <v>250</v>
      </c>
      <c r="D96" s="43" t="n">
        <v>230</v>
      </c>
      <c r="E96" s="43" t="n">
        <v>38.3333333333333</v>
      </c>
      <c r="F96" s="43" t="n">
        <v>30.6666666666667</v>
      </c>
      <c r="G96" s="43" t="n">
        <v>25.5555555555556</v>
      </c>
      <c r="H96" s="43" t="n">
        <v>195.5</v>
      </c>
      <c r="I96" s="43" t="n">
        <f aca="false">H96-F96</f>
        <v>164.833333333333</v>
      </c>
      <c r="J96" s="25" t="s">
        <v>119</v>
      </c>
    </row>
    <row r="97" customFormat="false" ht="15" hidden="false" customHeight="true" outlineLevel="0" collapsed="false">
      <c r="A97" s="26" t="s">
        <v>154</v>
      </c>
      <c r="B97" s="26" t="s">
        <v>212</v>
      </c>
      <c r="C97" s="41" t="n">
        <v>250</v>
      </c>
      <c r="D97" s="31" t="n">
        <v>230</v>
      </c>
      <c r="E97" s="31" t="n">
        <v>38.3333333333333</v>
      </c>
      <c r="F97" s="31" t="n">
        <v>30.6666666666667</v>
      </c>
      <c r="G97" s="31" t="n">
        <v>25.5555555555556</v>
      </c>
      <c r="H97" s="31" t="n">
        <v>195.5</v>
      </c>
      <c r="I97" s="31" t="n">
        <f aca="false">H97-F97</f>
        <v>164.833333333333</v>
      </c>
      <c r="J97" s="26" t="s">
        <v>119</v>
      </c>
    </row>
    <row r="98" customFormat="false" ht="15" hidden="false" customHeight="true" outlineLevel="0" collapsed="false">
      <c r="A98" s="26" t="s">
        <v>133</v>
      </c>
      <c r="B98" s="26" t="s">
        <v>213</v>
      </c>
      <c r="C98" s="41" t="n">
        <v>241</v>
      </c>
      <c r="D98" s="31" t="n">
        <v>221.72</v>
      </c>
      <c r="E98" s="31" t="n">
        <v>36.9533333333333</v>
      </c>
      <c r="F98" s="31" t="n">
        <v>29.5626666666667</v>
      </c>
      <c r="G98" s="31" t="n">
        <v>24.6355555555556</v>
      </c>
      <c r="H98" s="31" t="n">
        <v>188.462</v>
      </c>
      <c r="I98" s="31" t="n">
        <f aca="false">H98-F98</f>
        <v>158.899333333333</v>
      </c>
      <c r="J98" s="26" t="s">
        <v>119</v>
      </c>
    </row>
    <row r="99" customFormat="false" ht="15" hidden="false" customHeight="true" outlineLevel="0" collapsed="false">
      <c r="A99" s="25" t="s">
        <v>117</v>
      </c>
      <c r="B99" s="25" t="s">
        <v>214</v>
      </c>
      <c r="C99" s="42" t="n">
        <v>239.1</v>
      </c>
      <c r="D99" s="43" t="n">
        <v>219.972</v>
      </c>
      <c r="E99" s="43" t="n">
        <v>36.662</v>
      </c>
      <c r="F99" s="43" t="n">
        <v>29.3296</v>
      </c>
      <c r="G99" s="43" t="n">
        <v>24.4413333333333</v>
      </c>
      <c r="H99" s="43" t="n">
        <v>186.9762</v>
      </c>
      <c r="I99" s="43" t="n">
        <f aca="false">H99-F99</f>
        <v>157.6466</v>
      </c>
      <c r="J99" s="25" t="s">
        <v>119</v>
      </c>
    </row>
    <row r="100" customFormat="false" ht="15" hidden="false" customHeight="true" outlineLevel="0" collapsed="false">
      <c r="A100" s="25" t="s">
        <v>215</v>
      </c>
      <c r="B100" s="25" t="s">
        <v>216</v>
      </c>
      <c r="C100" s="42" t="n">
        <v>239</v>
      </c>
      <c r="D100" s="43" t="n">
        <v>219.88</v>
      </c>
      <c r="E100" s="43" t="n">
        <v>36.6466666666667</v>
      </c>
      <c r="F100" s="43" t="n">
        <v>29.3173333333333</v>
      </c>
      <c r="G100" s="43" t="n">
        <v>24.4311111111111</v>
      </c>
      <c r="H100" s="43" t="n">
        <v>186.898</v>
      </c>
      <c r="I100" s="43" t="n">
        <f aca="false">H100-F100</f>
        <v>157.580666666667</v>
      </c>
      <c r="J100" s="25" t="s">
        <v>119</v>
      </c>
    </row>
    <row r="101" customFormat="false" ht="15" hidden="false" customHeight="true" outlineLevel="0" collapsed="false">
      <c r="A101" s="26" t="s">
        <v>117</v>
      </c>
      <c r="B101" s="26" t="s">
        <v>217</v>
      </c>
      <c r="C101" s="41" t="n">
        <v>229</v>
      </c>
      <c r="D101" s="31" t="n">
        <v>210.68</v>
      </c>
      <c r="E101" s="31" t="n">
        <v>35.1133333333333</v>
      </c>
      <c r="F101" s="31" t="n">
        <v>28.0906666666667</v>
      </c>
      <c r="G101" s="31" t="n">
        <v>23.4088888888889</v>
      </c>
      <c r="H101" s="31" t="n">
        <v>179.078</v>
      </c>
      <c r="I101" s="31" t="n">
        <f aca="false">H101-F101</f>
        <v>150.987333333333</v>
      </c>
      <c r="J101" s="26" t="s">
        <v>119</v>
      </c>
    </row>
    <row r="102" customFormat="false" ht="15" hidden="false" customHeight="true" outlineLevel="0" collapsed="false">
      <c r="A102" s="25" t="s">
        <v>117</v>
      </c>
      <c r="B102" s="25" t="s">
        <v>218</v>
      </c>
      <c r="C102" s="42" t="n">
        <v>229</v>
      </c>
      <c r="D102" s="43" t="n">
        <v>210.68</v>
      </c>
      <c r="E102" s="43" t="n">
        <v>35.1133333333333</v>
      </c>
      <c r="F102" s="43" t="n">
        <v>28.0906666666667</v>
      </c>
      <c r="G102" s="43" t="n">
        <v>23.4088888888889</v>
      </c>
      <c r="H102" s="43" t="n">
        <v>179.078</v>
      </c>
      <c r="I102" s="43" t="n">
        <f aca="false">H102-F102</f>
        <v>150.987333333333</v>
      </c>
      <c r="J102" s="25" t="s">
        <v>119</v>
      </c>
    </row>
    <row r="103" customFormat="false" ht="15" hidden="false" customHeight="true" outlineLevel="0" collapsed="false">
      <c r="A103" s="25" t="s">
        <v>117</v>
      </c>
      <c r="B103" s="25" t="s">
        <v>219</v>
      </c>
      <c r="C103" s="42" t="n">
        <v>229</v>
      </c>
      <c r="D103" s="43" t="n">
        <v>210.68</v>
      </c>
      <c r="E103" s="43" t="n">
        <v>35.1133333333333</v>
      </c>
      <c r="F103" s="43" t="n">
        <v>28.0906666666667</v>
      </c>
      <c r="G103" s="43" t="n">
        <v>23.4088888888889</v>
      </c>
      <c r="H103" s="43" t="n">
        <v>179.078</v>
      </c>
      <c r="I103" s="43" t="n">
        <f aca="false">H103-F103</f>
        <v>150.987333333333</v>
      </c>
      <c r="J103" s="25" t="s">
        <v>119</v>
      </c>
    </row>
    <row r="104" customFormat="false" ht="15" hidden="false" customHeight="true" outlineLevel="0" collapsed="false">
      <c r="A104" s="25" t="s">
        <v>220</v>
      </c>
      <c r="B104" s="25" t="s">
        <v>221</v>
      </c>
      <c r="C104" s="42" t="n">
        <v>227.95</v>
      </c>
      <c r="D104" s="43" t="n">
        <v>209.714</v>
      </c>
      <c r="E104" s="43" t="n">
        <v>34.9523333333333</v>
      </c>
      <c r="F104" s="43" t="n">
        <v>27.9618666666667</v>
      </c>
      <c r="G104" s="43" t="n">
        <v>23.3015555555556</v>
      </c>
      <c r="H104" s="43" t="n">
        <v>178.2569</v>
      </c>
      <c r="I104" s="43" t="n">
        <f aca="false">H104-F104</f>
        <v>150.295033333333</v>
      </c>
      <c r="J104" s="25" t="s">
        <v>169</v>
      </c>
    </row>
    <row r="105" customFormat="false" ht="15" hidden="false" customHeight="true" outlineLevel="0" collapsed="false">
      <c r="A105" s="25" t="s">
        <v>203</v>
      </c>
      <c r="B105" s="25" t="s">
        <v>222</v>
      </c>
      <c r="C105" s="42" t="n">
        <v>225.95</v>
      </c>
      <c r="D105" s="43" t="n">
        <v>207.874</v>
      </c>
      <c r="E105" s="43" t="n">
        <v>34.6456666666667</v>
      </c>
      <c r="F105" s="43" t="n">
        <v>27.7165333333333</v>
      </c>
      <c r="G105" s="43" t="n">
        <v>23.0971111111111</v>
      </c>
      <c r="H105" s="43" t="n">
        <v>176.6929</v>
      </c>
      <c r="I105" s="43" t="n">
        <f aca="false">H105-F105</f>
        <v>148.976366666667</v>
      </c>
      <c r="J105" s="25" t="s">
        <v>169</v>
      </c>
    </row>
    <row r="106" customFormat="false" ht="15" hidden="false" customHeight="true" outlineLevel="0" collapsed="false">
      <c r="A106" s="26" t="s">
        <v>220</v>
      </c>
      <c r="B106" s="26" t="s">
        <v>223</v>
      </c>
      <c r="C106" s="41" t="n">
        <v>215.95</v>
      </c>
      <c r="D106" s="31" t="n">
        <v>198.674</v>
      </c>
      <c r="E106" s="31" t="n">
        <v>33.1123333333333</v>
      </c>
      <c r="F106" s="31" t="n">
        <v>26.4898666666667</v>
      </c>
      <c r="G106" s="31" t="n">
        <v>22.0748888888889</v>
      </c>
      <c r="H106" s="31" t="n">
        <v>168.8729</v>
      </c>
      <c r="I106" s="31" t="n">
        <f aca="false">H106-F106</f>
        <v>142.383033333333</v>
      </c>
      <c r="J106" s="26" t="s">
        <v>169</v>
      </c>
    </row>
    <row r="107" customFormat="false" ht="15" hidden="false" customHeight="true" outlineLevel="0" collapsed="false">
      <c r="A107" s="25" t="s">
        <v>220</v>
      </c>
      <c r="B107" s="25" t="s">
        <v>224</v>
      </c>
      <c r="C107" s="42" t="n">
        <v>213.95</v>
      </c>
      <c r="D107" s="43" t="n">
        <v>196.834</v>
      </c>
      <c r="E107" s="43" t="n">
        <v>32.8056666666667</v>
      </c>
      <c r="F107" s="43" t="n">
        <v>26.2445333333333</v>
      </c>
      <c r="G107" s="43" t="n">
        <v>21.8704444444444</v>
      </c>
      <c r="H107" s="43" t="n">
        <v>167.3089</v>
      </c>
      <c r="I107" s="43" t="n">
        <f aca="false">H107-F107</f>
        <v>141.064366666667</v>
      </c>
      <c r="J107" s="25" t="s">
        <v>169</v>
      </c>
    </row>
    <row r="108" customFormat="false" ht="15" hidden="false" customHeight="true" outlineLevel="0" collapsed="false">
      <c r="A108" s="25" t="s">
        <v>220</v>
      </c>
      <c r="B108" s="25" t="s">
        <v>225</v>
      </c>
      <c r="C108" s="42" t="n">
        <v>213.95</v>
      </c>
      <c r="D108" s="43" t="n">
        <v>196.834</v>
      </c>
      <c r="E108" s="43" t="n">
        <v>32.8056666666667</v>
      </c>
      <c r="F108" s="43" t="n">
        <v>26.2445333333333</v>
      </c>
      <c r="G108" s="43" t="n">
        <v>21.8704444444444</v>
      </c>
      <c r="H108" s="43" t="n">
        <v>167.3089</v>
      </c>
      <c r="I108" s="43" t="n">
        <f aca="false">H108-F108</f>
        <v>141.064366666667</v>
      </c>
      <c r="J108" s="25" t="s">
        <v>169</v>
      </c>
    </row>
    <row r="109" customFormat="false" ht="15" hidden="false" customHeight="true" outlineLevel="0" collapsed="false">
      <c r="A109" s="26" t="s">
        <v>149</v>
      </c>
      <c r="B109" s="26" t="s">
        <v>226</v>
      </c>
      <c r="C109" s="41" t="n">
        <v>213.5</v>
      </c>
      <c r="D109" s="31" t="n">
        <v>196.42</v>
      </c>
      <c r="E109" s="31" t="n">
        <v>32.7366666666667</v>
      </c>
      <c r="F109" s="31" t="n">
        <v>26.1893333333333</v>
      </c>
      <c r="G109" s="31" t="n">
        <v>21.8244444444444</v>
      </c>
      <c r="H109" s="31" t="n">
        <v>166.957</v>
      </c>
      <c r="I109" s="31" t="n">
        <f aca="false">H109-F109</f>
        <v>140.767666666667</v>
      </c>
      <c r="J109" s="26" t="s">
        <v>119</v>
      </c>
    </row>
    <row r="110" customFormat="false" ht="15" hidden="false" customHeight="true" outlineLevel="0" collapsed="false">
      <c r="A110" s="25" t="s">
        <v>117</v>
      </c>
      <c r="B110" s="25" t="s">
        <v>227</v>
      </c>
      <c r="C110" s="42" t="n">
        <v>210.55</v>
      </c>
      <c r="D110" s="43" t="n">
        <v>193.706</v>
      </c>
      <c r="E110" s="43" t="n">
        <v>32.2843333333333</v>
      </c>
      <c r="F110" s="43" t="n">
        <v>25.8274666666667</v>
      </c>
      <c r="G110" s="43" t="n">
        <v>21.5228888888889</v>
      </c>
      <c r="H110" s="43" t="n">
        <v>164.6501</v>
      </c>
      <c r="I110" s="43" t="n">
        <f aca="false">H110-F110</f>
        <v>138.822633333333</v>
      </c>
      <c r="J110" s="25" t="s">
        <v>119</v>
      </c>
    </row>
    <row r="111" customFormat="false" ht="15" hidden="false" customHeight="true" outlineLevel="0" collapsed="false">
      <c r="A111" s="26" t="s">
        <v>220</v>
      </c>
      <c r="B111" s="26" t="s">
        <v>228</v>
      </c>
      <c r="C111" s="41" t="n">
        <v>203.95</v>
      </c>
      <c r="D111" s="31" t="n">
        <v>187.634</v>
      </c>
      <c r="E111" s="31" t="n">
        <v>31.2723333333333</v>
      </c>
      <c r="F111" s="31" t="n">
        <v>25.0178666666667</v>
      </c>
      <c r="G111" s="31" t="n">
        <v>20.8482222222222</v>
      </c>
      <c r="H111" s="31" t="n">
        <v>159.4889</v>
      </c>
      <c r="I111" s="31" t="n">
        <f aca="false">H111-F111</f>
        <v>134.471033333333</v>
      </c>
      <c r="J111" s="26" t="s">
        <v>169</v>
      </c>
    </row>
    <row r="112" customFormat="false" ht="15" hidden="false" customHeight="true" outlineLevel="0" collapsed="false">
      <c r="A112" s="25" t="s">
        <v>220</v>
      </c>
      <c r="B112" s="25" t="s">
        <v>229</v>
      </c>
      <c r="C112" s="42" t="n">
        <v>197.95</v>
      </c>
      <c r="D112" s="43" t="n">
        <v>182.114</v>
      </c>
      <c r="E112" s="43" t="n">
        <v>30.3523333333333</v>
      </c>
      <c r="F112" s="43" t="n">
        <v>24.2818666666667</v>
      </c>
      <c r="G112" s="43" t="n">
        <v>20.2348888888889</v>
      </c>
      <c r="H112" s="43" t="n">
        <v>154.7969</v>
      </c>
      <c r="I112" s="43" t="n">
        <f aca="false">H112-F112</f>
        <v>130.515033333333</v>
      </c>
      <c r="J112" s="25" t="s">
        <v>169</v>
      </c>
    </row>
    <row r="113" customFormat="false" ht="15" hidden="false" customHeight="true" outlineLevel="0" collapsed="false">
      <c r="A113" s="26" t="s">
        <v>220</v>
      </c>
      <c r="B113" s="26" t="s">
        <v>230</v>
      </c>
      <c r="C113" s="41" t="n">
        <v>189.95</v>
      </c>
      <c r="D113" s="31" t="n">
        <v>174.754</v>
      </c>
      <c r="E113" s="31" t="n">
        <v>29.1256666666667</v>
      </c>
      <c r="F113" s="31" t="n">
        <v>23.3005333333333</v>
      </c>
      <c r="G113" s="31" t="n">
        <v>19.4171111111111</v>
      </c>
      <c r="H113" s="31" t="n">
        <v>148.5409</v>
      </c>
      <c r="I113" s="31" t="n">
        <f aca="false">H113-F113</f>
        <v>125.240366666667</v>
      </c>
      <c r="J113" s="26" t="s">
        <v>169</v>
      </c>
    </row>
    <row r="114" customFormat="false" ht="15" hidden="false" customHeight="true" outlineLevel="0" collapsed="false">
      <c r="A114" s="26" t="s">
        <v>203</v>
      </c>
      <c r="B114" s="26" t="s">
        <v>231</v>
      </c>
      <c r="C114" s="41" t="n">
        <v>189.95</v>
      </c>
      <c r="D114" s="31" t="n">
        <v>174.754</v>
      </c>
      <c r="E114" s="31" t="n">
        <v>29.1256666666667</v>
      </c>
      <c r="F114" s="31" t="n">
        <v>23.3005333333333</v>
      </c>
      <c r="G114" s="31" t="n">
        <v>19.4171111111111</v>
      </c>
      <c r="H114" s="31" t="n">
        <v>148.5409</v>
      </c>
      <c r="I114" s="31" t="n">
        <f aca="false">H114-F114</f>
        <v>125.240366666667</v>
      </c>
      <c r="J114" s="26" t="s">
        <v>169</v>
      </c>
    </row>
    <row r="115" customFormat="false" ht="15" hidden="false" customHeight="true" outlineLevel="0" collapsed="false">
      <c r="A115" s="26" t="s">
        <v>133</v>
      </c>
      <c r="B115" s="26" t="s">
        <v>160</v>
      </c>
      <c r="C115" s="41" t="n">
        <v>189.32</v>
      </c>
      <c r="D115" s="31" t="n">
        <v>174.1744</v>
      </c>
      <c r="E115" s="31" t="n">
        <v>29.0290666666667</v>
      </c>
      <c r="F115" s="31" t="n">
        <v>23.2232533333333</v>
      </c>
      <c r="G115" s="31" t="n">
        <v>19.3527111111111</v>
      </c>
      <c r="H115" s="31" t="n">
        <v>148.04824</v>
      </c>
      <c r="I115" s="31" t="n">
        <f aca="false">H115-F115</f>
        <v>124.824986666667</v>
      </c>
      <c r="J115" s="26" t="s">
        <v>119</v>
      </c>
    </row>
    <row r="116" customFormat="false" ht="15" hidden="false" customHeight="true" outlineLevel="0" collapsed="false">
      <c r="A116" s="26" t="s">
        <v>117</v>
      </c>
      <c r="B116" s="26" t="s">
        <v>232</v>
      </c>
      <c r="C116" s="41" t="n">
        <v>188.1</v>
      </c>
      <c r="D116" s="31" t="n">
        <v>173.052</v>
      </c>
      <c r="E116" s="31" t="n">
        <v>28.842</v>
      </c>
      <c r="F116" s="31" t="n">
        <v>23.0736</v>
      </c>
      <c r="G116" s="31" t="n">
        <v>19.228</v>
      </c>
      <c r="H116" s="31" t="n">
        <v>147.0942</v>
      </c>
      <c r="I116" s="31" t="n">
        <f aca="false">H116-F116</f>
        <v>124.0206</v>
      </c>
      <c r="J116" s="26" t="s">
        <v>119</v>
      </c>
    </row>
    <row r="117" customFormat="false" ht="15" hidden="false" customHeight="true" outlineLevel="0" collapsed="false">
      <c r="A117" s="26" t="s">
        <v>122</v>
      </c>
      <c r="B117" s="26" t="s">
        <v>233</v>
      </c>
      <c r="C117" s="41" t="n">
        <v>185</v>
      </c>
      <c r="D117" s="31" t="n">
        <v>170.2</v>
      </c>
      <c r="E117" s="31" t="n">
        <v>28.3666666666667</v>
      </c>
      <c r="F117" s="31" t="n">
        <v>22.6933333333333</v>
      </c>
      <c r="G117" s="31" t="n">
        <v>18.9111111111111</v>
      </c>
      <c r="H117" s="31" t="n">
        <v>144.67</v>
      </c>
      <c r="I117" s="31" t="n">
        <f aca="false">H117-F117</f>
        <v>121.976666666667</v>
      </c>
      <c r="J117" s="26" t="s">
        <v>119</v>
      </c>
    </row>
    <row r="118" customFormat="false" ht="15" hidden="false" customHeight="true" outlineLevel="0" collapsed="false">
      <c r="A118" s="25" t="s">
        <v>117</v>
      </c>
      <c r="B118" s="25" t="s">
        <v>234</v>
      </c>
      <c r="C118" s="42" t="n">
        <v>181.7</v>
      </c>
      <c r="D118" s="43" t="n">
        <v>167.164</v>
      </c>
      <c r="E118" s="43" t="n">
        <v>27.8606666666667</v>
      </c>
      <c r="F118" s="43" t="n">
        <v>22.2885333333333</v>
      </c>
      <c r="G118" s="43" t="n">
        <v>18.5737777777778</v>
      </c>
      <c r="H118" s="43" t="n">
        <v>142.0894</v>
      </c>
      <c r="I118" s="43" t="n">
        <f aca="false">H118-F118</f>
        <v>119.800866666667</v>
      </c>
      <c r="J118" s="25" t="s">
        <v>119</v>
      </c>
    </row>
    <row r="119" customFormat="false" ht="15" hidden="false" customHeight="true" outlineLevel="0" collapsed="false">
      <c r="A119" s="25" t="s">
        <v>154</v>
      </c>
      <c r="B119" s="25" t="s">
        <v>235</v>
      </c>
      <c r="C119" s="42" t="n">
        <v>179</v>
      </c>
      <c r="D119" s="43" t="n">
        <v>164.68</v>
      </c>
      <c r="E119" s="43" t="n">
        <v>27.4466666666667</v>
      </c>
      <c r="F119" s="43" t="n">
        <v>21.9573333333333</v>
      </c>
      <c r="G119" s="43" t="n">
        <v>18.2977777777778</v>
      </c>
      <c r="H119" s="43" t="n">
        <v>139.978</v>
      </c>
      <c r="I119" s="43" t="n">
        <f aca="false">H119-F119</f>
        <v>118.020666666667</v>
      </c>
      <c r="J119" s="25" t="s">
        <v>119</v>
      </c>
    </row>
    <row r="120" customFormat="false" ht="15" hidden="false" customHeight="true" outlineLevel="0" collapsed="false">
      <c r="A120" s="25" t="s">
        <v>117</v>
      </c>
      <c r="B120" s="25" t="s">
        <v>236</v>
      </c>
      <c r="C120" s="42" t="n">
        <v>178.97</v>
      </c>
      <c r="D120" s="43" t="n">
        <v>164.6524</v>
      </c>
      <c r="E120" s="43" t="n">
        <v>27.4420666666667</v>
      </c>
      <c r="F120" s="43" t="n">
        <v>21.9536533333333</v>
      </c>
      <c r="G120" s="43" t="n">
        <v>18.2947111111111</v>
      </c>
      <c r="H120" s="43" t="n">
        <v>139.95454</v>
      </c>
      <c r="I120" s="43" t="n">
        <f aca="false">H120-F120</f>
        <v>118.000886666667</v>
      </c>
      <c r="J120" s="25" t="s">
        <v>119</v>
      </c>
    </row>
    <row r="121" customFormat="false" ht="15" hidden="false" customHeight="true" outlineLevel="0" collapsed="false">
      <c r="A121" s="26" t="s">
        <v>117</v>
      </c>
      <c r="B121" s="26" t="s">
        <v>118</v>
      </c>
      <c r="C121" s="41" t="n">
        <v>178.97</v>
      </c>
      <c r="D121" s="31" t="n">
        <v>164.6524</v>
      </c>
      <c r="E121" s="31" t="n">
        <v>27.4420666666667</v>
      </c>
      <c r="F121" s="31" t="n">
        <v>21.9536533333333</v>
      </c>
      <c r="G121" s="31" t="n">
        <v>18.2947111111111</v>
      </c>
      <c r="H121" s="31" t="n">
        <v>139.95454</v>
      </c>
      <c r="I121" s="31" t="n">
        <f aca="false">H121-F121</f>
        <v>118.000886666667</v>
      </c>
      <c r="J121" s="26" t="s">
        <v>119</v>
      </c>
    </row>
    <row r="122" customFormat="false" ht="15" hidden="false" customHeight="true" outlineLevel="0" collapsed="false">
      <c r="A122" s="26" t="s">
        <v>122</v>
      </c>
      <c r="B122" s="26" t="s">
        <v>237</v>
      </c>
      <c r="C122" s="41" t="n">
        <v>178.39</v>
      </c>
      <c r="D122" s="31" t="n">
        <v>164.1188</v>
      </c>
      <c r="E122" s="31" t="n">
        <v>27.3531333333333</v>
      </c>
      <c r="F122" s="31" t="n">
        <v>21.8825066666667</v>
      </c>
      <c r="G122" s="31" t="n">
        <v>18.2354222222222</v>
      </c>
      <c r="H122" s="31" t="n">
        <v>139.50098</v>
      </c>
      <c r="I122" s="31" t="n">
        <f aca="false">H122-F122</f>
        <v>117.618473333333</v>
      </c>
      <c r="J122" s="26" t="s">
        <v>119</v>
      </c>
    </row>
    <row r="123" customFormat="false" ht="15" hidden="false" customHeight="true" outlineLevel="0" collapsed="false">
      <c r="A123" s="26" t="s">
        <v>122</v>
      </c>
      <c r="B123" s="26" t="s">
        <v>238</v>
      </c>
      <c r="C123" s="41" t="n">
        <v>175.23</v>
      </c>
      <c r="D123" s="31" t="n">
        <v>161.2116</v>
      </c>
      <c r="E123" s="31" t="n">
        <v>26.8686</v>
      </c>
      <c r="F123" s="31" t="n">
        <v>21.49488</v>
      </c>
      <c r="G123" s="31" t="n">
        <v>17.9124</v>
      </c>
      <c r="H123" s="31" t="n">
        <v>137.02986</v>
      </c>
      <c r="I123" s="31" t="n">
        <f aca="false">H123-F123</f>
        <v>115.53498</v>
      </c>
      <c r="J123" s="26" t="s">
        <v>119</v>
      </c>
    </row>
    <row r="124" customFormat="false" ht="15" hidden="false" customHeight="true" outlineLevel="0" collapsed="false">
      <c r="A124" s="25" t="s">
        <v>122</v>
      </c>
      <c r="B124" s="25" t="s">
        <v>239</v>
      </c>
      <c r="C124" s="42" t="n">
        <v>175.23</v>
      </c>
      <c r="D124" s="43" t="n">
        <v>161.2116</v>
      </c>
      <c r="E124" s="43" t="n">
        <v>26.8686</v>
      </c>
      <c r="F124" s="43" t="n">
        <v>21.49488</v>
      </c>
      <c r="G124" s="43" t="n">
        <v>17.9124</v>
      </c>
      <c r="H124" s="43" t="n">
        <v>137.02986</v>
      </c>
      <c r="I124" s="43" t="n">
        <f aca="false">H124-F124</f>
        <v>115.53498</v>
      </c>
      <c r="J124" s="25" t="s">
        <v>119</v>
      </c>
    </row>
    <row r="125" customFormat="false" ht="15" hidden="false" customHeight="true" outlineLevel="0" collapsed="false">
      <c r="A125" s="26" t="s">
        <v>220</v>
      </c>
      <c r="B125" s="26" t="s">
        <v>240</v>
      </c>
      <c r="C125" s="41" t="n">
        <v>174.95</v>
      </c>
      <c r="D125" s="31" t="n">
        <v>160.954</v>
      </c>
      <c r="E125" s="31" t="n">
        <v>26.8256666666667</v>
      </c>
      <c r="F125" s="31" t="n">
        <v>21.4605333333333</v>
      </c>
      <c r="G125" s="31" t="n">
        <v>17.8837777777778</v>
      </c>
      <c r="H125" s="31" t="n">
        <v>136.8109</v>
      </c>
      <c r="I125" s="31" t="n">
        <f aca="false">H125-F125</f>
        <v>115.350366666667</v>
      </c>
      <c r="J125" s="26" t="s">
        <v>169</v>
      </c>
    </row>
    <row r="126" customFormat="false" ht="15" hidden="false" customHeight="true" outlineLevel="0" collapsed="false">
      <c r="A126" s="25" t="s">
        <v>220</v>
      </c>
      <c r="B126" s="25" t="s">
        <v>241</v>
      </c>
      <c r="C126" s="42" t="n">
        <v>174.95</v>
      </c>
      <c r="D126" s="43" t="n">
        <v>160.954</v>
      </c>
      <c r="E126" s="43" t="n">
        <v>26.8256666666667</v>
      </c>
      <c r="F126" s="43" t="n">
        <v>21.4605333333333</v>
      </c>
      <c r="G126" s="43" t="n">
        <v>17.8837777777778</v>
      </c>
      <c r="H126" s="43" t="n">
        <v>136.8109</v>
      </c>
      <c r="I126" s="43" t="n">
        <f aca="false">H126-F126</f>
        <v>115.350366666667</v>
      </c>
      <c r="J126" s="25" t="s">
        <v>169</v>
      </c>
    </row>
    <row r="127" customFormat="false" ht="15" hidden="false" customHeight="true" outlineLevel="0" collapsed="false">
      <c r="A127" s="26" t="s">
        <v>220</v>
      </c>
      <c r="B127" s="26" t="s">
        <v>242</v>
      </c>
      <c r="C127" s="41" t="n">
        <v>174.95</v>
      </c>
      <c r="D127" s="31" t="n">
        <v>160.954</v>
      </c>
      <c r="E127" s="31" t="n">
        <v>26.8256666666667</v>
      </c>
      <c r="F127" s="31" t="n">
        <v>21.4605333333333</v>
      </c>
      <c r="G127" s="31" t="n">
        <v>17.8837777777778</v>
      </c>
      <c r="H127" s="31" t="n">
        <v>136.8109</v>
      </c>
      <c r="I127" s="31" t="n">
        <f aca="false">H127-F127</f>
        <v>115.350366666667</v>
      </c>
      <c r="J127" s="26" t="s">
        <v>169</v>
      </c>
    </row>
    <row r="128" customFormat="false" ht="15" hidden="false" customHeight="true" outlineLevel="0" collapsed="false">
      <c r="A128" s="26" t="s">
        <v>117</v>
      </c>
      <c r="B128" s="26" t="s">
        <v>243</v>
      </c>
      <c r="C128" s="41" t="n">
        <v>170.07</v>
      </c>
      <c r="D128" s="31" t="n">
        <v>156.4644</v>
      </c>
      <c r="E128" s="31" t="n">
        <v>26.0774</v>
      </c>
      <c r="F128" s="31" t="n">
        <v>20.86192</v>
      </c>
      <c r="G128" s="31" t="n">
        <v>17.3849333333333</v>
      </c>
      <c r="H128" s="31" t="n">
        <v>132.99474</v>
      </c>
      <c r="I128" s="31" t="n">
        <f aca="false">H128-F128</f>
        <v>112.13282</v>
      </c>
      <c r="J128" s="26" t="s">
        <v>119</v>
      </c>
    </row>
    <row r="129" customFormat="false" ht="15" hidden="false" customHeight="true" outlineLevel="0" collapsed="false">
      <c r="A129" s="25" t="s">
        <v>117</v>
      </c>
      <c r="B129" s="25" t="s">
        <v>244</v>
      </c>
      <c r="C129" s="42" t="n">
        <v>170.05</v>
      </c>
      <c r="D129" s="43" t="n">
        <v>156.446</v>
      </c>
      <c r="E129" s="43" t="n">
        <v>26.0743333333333</v>
      </c>
      <c r="F129" s="43" t="n">
        <v>20.8594666666667</v>
      </c>
      <c r="G129" s="43" t="n">
        <v>17.3828888888889</v>
      </c>
      <c r="H129" s="43" t="n">
        <v>132.9791</v>
      </c>
      <c r="I129" s="43" t="n">
        <f aca="false">H129-F129</f>
        <v>112.119633333333</v>
      </c>
      <c r="J129" s="25" t="s">
        <v>119</v>
      </c>
    </row>
    <row r="130" customFormat="false" ht="15" hidden="false" customHeight="true" outlineLevel="0" collapsed="false">
      <c r="A130" s="25" t="s">
        <v>117</v>
      </c>
      <c r="B130" s="25" t="s">
        <v>245</v>
      </c>
      <c r="C130" s="42" t="n">
        <v>170.05</v>
      </c>
      <c r="D130" s="43" t="n">
        <v>156.446</v>
      </c>
      <c r="E130" s="43" t="n">
        <v>26.0743333333333</v>
      </c>
      <c r="F130" s="43" t="n">
        <v>20.8594666666667</v>
      </c>
      <c r="G130" s="43" t="n">
        <v>17.3828888888889</v>
      </c>
      <c r="H130" s="43" t="n">
        <v>132.9791</v>
      </c>
      <c r="I130" s="43" t="n">
        <f aca="false">H130-F130</f>
        <v>112.119633333333</v>
      </c>
      <c r="J130" s="25" t="s">
        <v>119</v>
      </c>
    </row>
    <row r="131" customFormat="false" ht="15" hidden="false" customHeight="true" outlineLevel="0" collapsed="false">
      <c r="A131" s="25" t="s">
        <v>117</v>
      </c>
      <c r="B131" s="25" t="s">
        <v>246</v>
      </c>
      <c r="C131" s="42" t="n">
        <v>170</v>
      </c>
      <c r="D131" s="43" t="n">
        <v>156.4</v>
      </c>
      <c r="E131" s="43" t="n">
        <v>26.0666666666667</v>
      </c>
      <c r="F131" s="43" t="n">
        <v>20.8533333333333</v>
      </c>
      <c r="G131" s="43" t="n">
        <v>17.3777777777778</v>
      </c>
      <c r="H131" s="43" t="n">
        <v>132.94</v>
      </c>
      <c r="I131" s="43" t="n">
        <f aca="false">H131-F131</f>
        <v>112.086666666667</v>
      </c>
      <c r="J131" s="25" t="s">
        <v>119</v>
      </c>
    </row>
    <row r="132" customFormat="false" ht="15" hidden="false" customHeight="true" outlineLevel="0" collapsed="false">
      <c r="A132" s="25" t="s">
        <v>220</v>
      </c>
      <c r="B132" s="25" t="s">
        <v>247</v>
      </c>
      <c r="C132" s="42" t="n">
        <v>169.95</v>
      </c>
      <c r="D132" s="43" t="n">
        <v>156.354</v>
      </c>
      <c r="E132" s="43" t="n">
        <v>26.059</v>
      </c>
      <c r="F132" s="43" t="n">
        <v>20.8472</v>
      </c>
      <c r="G132" s="43" t="n">
        <v>17.3726666666667</v>
      </c>
      <c r="H132" s="43" t="n">
        <v>132.9009</v>
      </c>
      <c r="I132" s="43" t="n">
        <f aca="false">H132-F132</f>
        <v>112.0537</v>
      </c>
      <c r="J132" s="25" t="s">
        <v>169</v>
      </c>
    </row>
    <row r="133" customFormat="false" ht="15" hidden="false" customHeight="true" outlineLevel="0" collapsed="false">
      <c r="A133" s="25" t="s">
        <v>122</v>
      </c>
      <c r="B133" s="25" t="s">
        <v>248</v>
      </c>
      <c r="C133" s="42" t="n">
        <v>169.95</v>
      </c>
      <c r="D133" s="43" t="n">
        <v>156.354</v>
      </c>
      <c r="E133" s="43" t="n">
        <v>26.059</v>
      </c>
      <c r="F133" s="43" t="n">
        <v>20.8472</v>
      </c>
      <c r="G133" s="43" t="n">
        <v>17.3726666666667</v>
      </c>
      <c r="H133" s="43" t="n">
        <v>132.9009</v>
      </c>
      <c r="I133" s="43" t="n">
        <f aca="false">H133-F133</f>
        <v>112.0537</v>
      </c>
      <c r="J133" s="25" t="s">
        <v>119</v>
      </c>
    </row>
    <row r="134" customFormat="false" ht="15" hidden="false" customHeight="true" outlineLevel="0" collapsed="false">
      <c r="A134" s="26" t="s">
        <v>122</v>
      </c>
      <c r="B134" s="26" t="s">
        <v>249</v>
      </c>
      <c r="C134" s="41" t="n">
        <v>165</v>
      </c>
      <c r="D134" s="31" t="n">
        <v>151.8</v>
      </c>
      <c r="E134" s="31" t="n">
        <v>25.3</v>
      </c>
      <c r="F134" s="31" t="n">
        <v>20.24</v>
      </c>
      <c r="G134" s="31" t="n">
        <v>16.8666666666667</v>
      </c>
      <c r="H134" s="31" t="n">
        <v>129.03</v>
      </c>
      <c r="I134" s="31" t="n">
        <f aca="false">H134-F134</f>
        <v>108.79</v>
      </c>
      <c r="J134" s="26" t="s">
        <v>119</v>
      </c>
    </row>
    <row r="135" customFormat="false" ht="15" hidden="false" customHeight="true" outlineLevel="0" collapsed="false">
      <c r="A135" s="25" t="s">
        <v>117</v>
      </c>
      <c r="B135" s="25" t="s">
        <v>250</v>
      </c>
      <c r="C135" s="42" t="n">
        <v>160</v>
      </c>
      <c r="D135" s="43" t="n">
        <v>147.2</v>
      </c>
      <c r="E135" s="43" t="n">
        <v>24.5333333333333</v>
      </c>
      <c r="F135" s="43" t="n">
        <v>19.6266666666667</v>
      </c>
      <c r="G135" s="43" t="n">
        <v>16.3555555555556</v>
      </c>
      <c r="H135" s="43" t="n">
        <v>125.12</v>
      </c>
      <c r="I135" s="43" t="n">
        <f aca="false">H135-F135</f>
        <v>105.493333333333</v>
      </c>
      <c r="J135" s="25" t="s">
        <v>119</v>
      </c>
    </row>
    <row r="136" customFormat="false" ht="15" hidden="false" customHeight="true" outlineLevel="0" collapsed="false">
      <c r="A136" s="26" t="s">
        <v>122</v>
      </c>
      <c r="B136" s="26" t="s">
        <v>251</v>
      </c>
      <c r="C136" s="41" t="n">
        <v>160</v>
      </c>
      <c r="D136" s="31" t="n">
        <v>147.2</v>
      </c>
      <c r="E136" s="31" t="n">
        <v>24.5333333333333</v>
      </c>
      <c r="F136" s="31" t="n">
        <v>19.6266666666667</v>
      </c>
      <c r="G136" s="31" t="n">
        <v>16.3555555555556</v>
      </c>
      <c r="H136" s="31" t="n">
        <v>125.12</v>
      </c>
      <c r="I136" s="31" t="n">
        <f aca="false">H136-F136</f>
        <v>105.493333333333</v>
      </c>
      <c r="J136" s="26" t="s">
        <v>119</v>
      </c>
    </row>
    <row r="137" customFormat="false" ht="15" hidden="false" customHeight="true" outlineLevel="0" collapsed="false">
      <c r="A137" s="25" t="s">
        <v>252</v>
      </c>
      <c r="B137" s="25" t="s">
        <v>253</v>
      </c>
      <c r="C137" s="42" t="n">
        <v>149.99</v>
      </c>
      <c r="D137" s="43" t="n">
        <v>137.9908</v>
      </c>
      <c r="E137" s="43" t="n">
        <v>22.9984666666667</v>
      </c>
      <c r="F137" s="43" t="n">
        <v>18.3987733333333</v>
      </c>
      <c r="G137" s="43" t="n">
        <v>15.3323111111111</v>
      </c>
      <c r="H137" s="43" t="n">
        <v>117.29218</v>
      </c>
      <c r="I137" s="43" t="n">
        <f aca="false">H137-F137</f>
        <v>98.8934066666667</v>
      </c>
      <c r="J137" s="25" t="s">
        <v>169</v>
      </c>
    </row>
    <row r="138" customFormat="false" ht="15" hidden="false" customHeight="true" outlineLevel="0" collapsed="false">
      <c r="A138" s="26" t="s">
        <v>252</v>
      </c>
      <c r="B138" s="26" t="s">
        <v>254</v>
      </c>
      <c r="C138" s="41" t="n">
        <v>149.99</v>
      </c>
      <c r="D138" s="31" t="n">
        <v>137.9908</v>
      </c>
      <c r="E138" s="31" t="n">
        <v>22.9984666666667</v>
      </c>
      <c r="F138" s="31" t="n">
        <v>18.3987733333333</v>
      </c>
      <c r="G138" s="31" t="n">
        <v>15.3323111111111</v>
      </c>
      <c r="H138" s="31" t="n">
        <v>117.29218</v>
      </c>
      <c r="I138" s="31" t="n">
        <f aca="false">H138-F138</f>
        <v>98.8934066666667</v>
      </c>
      <c r="J138" s="26" t="s">
        <v>169</v>
      </c>
    </row>
    <row r="139" customFormat="false" ht="15" hidden="false" customHeight="true" outlineLevel="0" collapsed="false">
      <c r="A139" s="26" t="s">
        <v>220</v>
      </c>
      <c r="B139" s="26" t="s">
        <v>255</v>
      </c>
      <c r="C139" s="41" t="n">
        <v>149.95</v>
      </c>
      <c r="D139" s="31" t="n">
        <v>137.954</v>
      </c>
      <c r="E139" s="31" t="n">
        <v>22.9923333333333</v>
      </c>
      <c r="F139" s="31" t="n">
        <v>18.3938666666667</v>
      </c>
      <c r="G139" s="31" t="n">
        <v>15.3282222222222</v>
      </c>
      <c r="H139" s="31" t="n">
        <v>117.2609</v>
      </c>
      <c r="I139" s="31" t="n">
        <f aca="false">H139-F139</f>
        <v>98.8670333333333</v>
      </c>
      <c r="J139" s="26" t="s">
        <v>169</v>
      </c>
    </row>
    <row r="140" customFormat="false" ht="15" hidden="false" customHeight="true" outlineLevel="0" collapsed="false">
      <c r="A140" s="25" t="s">
        <v>215</v>
      </c>
      <c r="B140" s="25" t="s">
        <v>256</v>
      </c>
      <c r="C140" s="42" t="n">
        <v>149.88</v>
      </c>
      <c r="D140" s="43" t="n">
        <v>137.8896</v>
      </c>
      <c r="E140" s="43" t="n">
        <v>22.9816</v>
      </c>
      <c r="F140" s="43" t="n">
        <v>18.38528</v>
      </c>
      <c r="G140" s="43" t="n">
        <v>15.3210666666667</v>
      </c>
      <c r="H140" s="43" t="n">
        <v>117.20616</v>
      </c>
      <c r="I140" s="43" t="n">
        <f aca="false">H140-F140</f>
        <v>98.82088</v>
      </c>
      <c r="J140" s="25" t="s">
        <v>119</v>
      </c>
    </row>
    <row r="141" customFormat="false" ht="15" hidden="false" customHeight="true" outlineLevel="0" collapsed="false">
      <c r="A141" s="26" t="s">
        <v>215</v>
      </c>
      <c r="B141" s="26" t="s">
        <v>256</v>
      </c>
      <c r="C141" s="41" t="n">
        <v>149.88</v>
      </c>
      <c r="D141" s="31" t="n">
        <v>137.8896</v>
      </c>
      <c r="E141" s="31" t="n">
        <v>22.9816</v>
      </c>
      <c r="F141" s="31" t="n">
        <v>18.38528</v>
      </c>
      <c r="G141" s="31" t="n">
        <v>15.3210666666667</v>
      </c>
      <c r="H141" s="31" t="n">
        <v>117.20616</v>
      </c>
      <c r="I141" s="31" t="n">
        <f aca="false">H141-F141</f>
        <v>98.82088</v>
      </c>
      <c r="J141" s="26" t="s">
        <v>119</v>
      </c>
    </row>
    <row r="142" customFormat="false" ht="15" hidden="false" customHeight="true" outlineLevel="0" collapsed="false">
      <c r="A142" s="26" t="s">
        <v>117</v>
      </c>
      <c r="B142" s="26" t="s">
        <v>257</v>
      </c>
      <c r="C142" s="41" t="n">
        <v>145</v>
      </c>
      <c r="D142" s="31" t="n">
        <v>133.4</v>
      </c>
      <c r="E142" s="31" t="n">
        <v>22.2333333333333</v>
      </c>
      <c r="F142" s="31" t="n">
        <v>17.7866666666667</v>
      </c>
      <c r="G142" s="31" t="n">
        <v>14.8222222222222</v>
      </c>
      <c r="H142" s="31" t="n">
        <v>113.39</v>
      </c>
      <c r="I142" s="31" t="n">
        <f aca="false">H142-F142</f>
        <v>95.6033333333333</v>
      </c>
      <c r="J142" s="26" t="s">
        <v>119</v>
      </c>
    </row>
    <row r="143" customFormat="false" ht="15" hidden="false" customHeight="true" outlineLevel="0" collapsed="false">
      <c r="A143" s="25" t="s">
        <v>117</v>
      </c>
      <c r="B143" s="25" t="s">
        <v>258</v>
      </c>
      <c r="C143" s="42" t="n">
        <v>143</v>
      </c>
      <c r="D143" s="43" t="n">
        <v>131.56</v>
      </c>
      <c r="E143" s="43" t="n">
        <v>21.9266666666667</v>
      </c>
      <c r="F143" s="43" t="n">
        <v>17.5413333333333</v>
      </c>
      <c r="G143" s="43" t="n">
        <v>14.6177777777778</v>
      </c>
      <c r="H143" s="43" t="n">
        <v>111.826</v>
      </c>
      <c r="I143" s="43" t="n">
        <f aca="false">H143-F143</f>
        <v>94.2846666666667</v>
      </c>
      <c r="J143" s="25" t="s">
        <v>119</v>
      </c>
    </row>
    <row r="144" customFormat="false" ht="15" hidden="false" customHeight="true" outlineLevel="0" collapsed="false">
      <c r="A144" s="25" t="s">
        <v>122</v>
      </c>
      <c r="B144" s="25" t="s">
        <v>259</v>
      </c>
      <c r="C144" s="42" t="n">
        <v>142.34</v>
      </c>
      <c r="D144" s="43" t="n">
        <v>130.9528</v>
      </c>
      <c r="E144" s="43" t="n">
        <v>21.8254666666667</v>
      </c>
      <c r="F144" s="43" t="n">
        <v>17.4603733333333</v>
      </c>
      <c r="G144" s="43" t="n">
        <v>14.5503111111111</v>
      </c>
      <c r="H144" s="43" t="n">
        <v>111.30988</v>
      </c>
      <c r="I144" s="43" t="n">
        <f aca="false">H144-F144</f>
        <v>93.8495066666667</v>
      </c>
      <c r="J144" s="25" t="s">
        <v>119</v>
      </c>
    </row>
    <row r="145" customFormat="false" ht="15" hidden="false" customHeight="true" outlineLevel="0" collapsed="false">
      <c r="A145" s="25" t="s">
        <v>203</v>
      </c>
      <c r="B145" s="25" t="s">
        <v>260</v>
      </c>
      <c r="C145" s="42" t="n">
        <v>139.95</v>
      </c>
      <c r="D145" s="43" t="n">
        <v>128.754</v>
      </c>
      <c r="E145" s="43" t="n">
        <v>21.459</v>
      </c>
      <c r="F145" s="43" t="n">
        <v>17.1672</v>
      </c>
      <c r="G145" s="43" t="n">
        <v>14.306</v>
      </c>
      <c r="H145" s="43" t="n">
        <v>109.4409</v>
      </c>
      <c r="I145" s="43" t="n">
        <f aca="false">H145-F145</f>
        <v>92.2737</v>
      </c>
      <c r="J145" s="25" t="s">
        <v>169</v>
      </c>
    </row>
    <row r="146" customFormat="false" ht="15" hidden="false" customHeight="true" outlineLevel="0" collapsed="false">
      <c r="A146" s="26" t="s">
        <v>203</v>
      </c>
      <c r="B146" s="26" t="s">
        <v>261</v>
      </c>
      <c r="C146" s="41" t="n">
        <v>139.95</v>
      </c>
      <c r="D146" s="31" t="n">
        <v>128.754</v>
      </c>
      <c r="E146" s="31" t="n">
        <v>21.459</v>
      </c>
      <c r="F146" s="31" t="n">
        <v>17.1672</v>
      </c>
      <c r="G146" s="31" t="n">
        <v>14.306</v>
      </c>
      <c r="H146" s="31" t="n">
        <v>109.4409</v>
      </c>
      <c r="I146" s="31" t="n">
        <f aca="false">H146-F146</f>
        <v>92.2737</v>
      </c>
      <c r="J146" s="26" t="s">
        <v>169</v>
      </c>
    </row>
    <row r="147" customFormat="false" ht="15" hidden="false" customHeight="true" outlineLevel="0" collapsed="false">
      <c r="A147" s="26" t="s">
        <v>154</v>
      </c>
      <c r="B147" s="26" t="s">
        <v>262</v>
      </c>
      <c r="C147" s="41" t="n">
        <v>136</v>
      </c>
      <c r="D147" s="31" t="n">
        <v>125.12</v>
      </c>
      <c r="E147" s="31" t="n">
        <v>20.8533333333333</v>
      </c>
      <c r="F147" s="31" t="n">
        <v>16.6826666666667</v>
      </c>
      <c r="G147" s="31" t="n">
        <v>13.9022222222222</v>
      </c>
      <c r="H147" s="31" t="n">
        <v>106.352</v>
      </c>
      <c r="I147" s="31" t="n">
        <f aca="false">H147-F147</f>
        <v>89.6693333333333</v>
      </c>
      <c r="J147" s="26" t="s">
        <v>119</v>
      </c>
    </row>
    <row r="148" customFormat="false" ht="15" hidden="false" customHeight="true" outlineLevel="0" collapsed="false">
      <c r="A148" s="25" t="s">
        <v>149</v>
      </c>
      <c r="B148" s="25" t="s">
        <v>263</v>
      </c>
      <c r="C148" s="42" t="n">
        <v>135</v>
      </c>
      <c r="D148" s="43" t="n">
        <v>124.2</v>
      </c>
      <c r="E148" s="43" t="n">
        <v>20.7</v>
      </c>
      <c r="F148" s="43" t="n">
        <v>16.56</v>
      </c>
      <c r="G148" s="43" t="n">
        <v>13.8</v>
      </c>
      <c r="H148" s="43" t="n">
        <v>105.57</v>
      </c>
      <c r="I148" s="43" t="n">
        <f aca="false">H148-F148</f>
        <v>89.01</v>
      </c>
      <c r="J148" s="25" t="s">
        <v>119</v>
      </c>
    </row>
    <row r="149" customFormat="false" ht="15" hidden="false" customHeight="true" outlineLevel="0" collapsed="false">
      <c r="A149" s="26" t="s">
        <v>117</v>
      </c>
      <c r="B149" s="26" t="s">
        <v>264</v>
      </c>
      <c r="C149" s="41" t="n">
        <v>132</v>
      </c>
      <c r="D149" s="31" t="n">
        <v>121.44</v>
      </c>
      <c r="E149" s="31" t="n">
        <v>20.24</v>
      </c>
      <c r="F149" s="31" t="n">
        <v>16.192</v>
      </c>
      <c r="G149" s="31" t="n">
        <v>13.4933333333333</v>
      </c>
      <c r="H149" s="31" t="n">
        <v>103.224</v>
      </c>
      <c r="I149" s="31" t="n">
        <f aca="false">H149-F149</f>
        <v>87.032</v>
      </c>
      <c r="J149" s="26" t="s">
        <v>119</v>
      </c>
    </row>
    <row r="150" customFormat="false" ht="15" hidden="false" customHeight="true" outlineLevel="0" collapsed="false">
      <c r="A150" s="25" t="s">
        <v>154</v>
      </c>
      <c r="B150" s="25" t="s">
        <v>265</v>
      </c>
      <c r="C150" s="42" t="n">
        <v>123.72</v>
      </c>
      <c r="D150" s="43" t="n">
        <v>113.8224</v>
      </c>
      <c r="E150" s="43" t="n">
        <v>18.9704</v>
      </c>
      <c r="F150" s="43" t="n">
        <v>15.17632</v>
      </c>
      <c r="G150" s="43" t="n">
        <v>12.6469333333333</v>
      </c>
      <c r="H150" s="43" t="n">
        <v>96.74904</v>
      </c>
      <c r="I150" s="43" t="n">
        <f aca="false">H150-F150</f>
        <v>81.57272</v>
      </c>
      <c r="J150" s="25" t="s">
        <v>119</v>
      </c>
    </row>
    <row r="151" customFormat="false" ht="15" hidden="false" customHeight="true" outlineLevel="0" collapsed="false">
      <c r="A151" s="26" t="s">
        <v>122</v>
      </c>
      <c r="B151" s="26" t="s">
        <v>266</v>
      </c>
      <c r="C151" s="41" t="n">
        <v>122.5</v>
      </c>
      <c r="D151" s="31" t="n">
        <v>112.7</v>
      </c>
      <c r="E151" s="31" t="n">
        <v>18.7833333333333</v>
      </c>
      <c r="F151" s="31" t="n">
        <v>15.0266666666667</v>
      </c>
      <c r="G151" s="31" t="n">
        <v>12.5222222222222</v>
      </c>
      <c r="H151" s="31" t="n">
        <v>95.795</v>
      </c>
      <c r="I151" s="31" t="n">
        <f aca="false">H151-F151</f>
        <v>80.7683333333333</v>
      </c>
      <c r="J151" s="26" t="s">
        <v>119</v>
      </c>
    </row>
    <row r="152" customFormat="false" ht="15" hidden="false" customHeight="true" outlineLevel="0" collapsed="false">
      <c r="A152" s="25" t="s">
        <v>117</v>
      </c>
      <c r="B152" s="25" t="s">
        <v>267</v>
      </c>
      <c r="C152" s="42" t="n">
        <v>120</v>
      </c>
      <c r="D152" s="43" t="n">
        <v>110.4</v>
      </c>
      <c r="E152" s="43" t="n">
        <v>18.4</v>
      </c>
      <c r="F152" s="43" t="n">
        <v>14.72</v>
      </c>
      <c r="G152" s="43" t="n">
        <v>12.2666666666667</v>
      </c>
      <c r="H152" s="43" t="n">
        <v>93.84</v>
      </c>
      <c r="I152" s="43" t="n">
        <f aca="false">H152-F152</f>
        <v>79.12</v>
      </c>
      <c r="J152" s="25" t="s">
        <v>119</v>
      </c>
    </row>
    <row r="153" customFormat="false" ht="15" hidden="false" customHeight="true" outlineLevel="0" collapsed="false">
      <c r="A153" s="26" t="s">
        <v>220</v>
      </c>
      <c r="B153" s="26" t="s">
        <v>268</v>
      </c>
      <c r="C153" s="41" t="n">
        <v>120</v>
      </c>
      <c r="D153" s="31" t="n">
        <v>110.4</v>
      </c>
      <c r="E153" s="31" t="n">
        <v>18.4</v>
      </c>
      <c r="F153" s="31" t="n">
        <v>14.72</v>
      </c>
      <c r="G153" s="31" t="n">
        <v>12.2666666666667</v>
      </c>
      <c r="H153" s="31" t="n">
        <v>93.84</v>
      </c>
      <c r="I153" s="31" t="n">
        <f aca="false">H153-F153</f>
        <v>79.12</v>
      </c>
      <c r="J153" s="26" t="s">
        <v>169</v>
      </c>
    </row>
    <row r="154" customFormat="false" ht="15" hidden="false" customHeight="true" outlineLevel="0" collapsed="false">
      <c r="A154" s="25" t="s">
        <v>203</v>
      </c>
      <c r="B154" s="25" t="s">
        <v>269</v>
      </c>
      <c r="C154" s="42" t="n">
        <v>119.95</v>
      </c>
      <c r="D154" s="43" t="n">
        <v>110.354</v>
      </c>
      <c r="E154" s="43" t="n">
        <v>18.3923333333333</v>
      </c>
      <c r="F154" s="43" t="n">
        <v>14.7138666666667</v>
      </c>
      <c r="G154" s="43" t="n">
        <v>12.2615555555556</v>
      </c>
      <c r="H154" s="43" t="n">
        <v>93.8009</v>
      </c>
      <c r="I154" s="43" t="n">
        <f aca="false">H154-F154</f>
        <v>79.0870333333333</v>
      </c>
      <c r="J154" s="25" t="s">
        <v>169</v>
      </c>
    </row>
    <row r="155" customFormat="false" ht="15" hidden="false" customHeight="true" outlineLevel="0" collapsed="false">
      <c r="A155" s="26" t="s">
        <v>149</v>
      </c>
      <c r="B155" s="26" t="s">
        <v>270</v>
      </c>
      <c r="C155" s="41" t="n">
        <v>110</v>
      </c>
      <c r="D155" s="31" t="n">
        <v>101.2</v>
      </c>
      <c r="E155" s="31" t="n">
        <v>16.8666666666667</v>
      </c>
      <c r="F155" s="31" t="n">
        <v>13.4933333333333</v>
      </c>
      <c r="G155" s="31" t="n">
        <v>11.2444444444445</v>
      </c>
      <c r="H155" s="31" t="n">
        <v>86.02</v>
      </c>
      <c r="I155" s="31" t="n">
        <f aca="false">H155-F155</f>
        <v>72.5266666666667</v>
      </c>
      <c r="J155" s="26" t="s">
        <v>119</v>
      </c>
    </row>
    <row r="156" customFormat="false" ht="15" hidden="false" customHeight="true" outlineLevel="0" collapsed="false">
      <c r="A156" s="26" t="s">
        <v>220</v>
      </c>
      <c r="B156" s="26" t="s">
        <v>271</v>
      </c>
      <c r="C156" s="41" t="n">
        <v>98.95</v>
      </c>
      <c r="D156" s="31" t="n">
        <v>91.034</v>
      </c>
      <c r="E156" s="31" t="n">
        <v>15.1723333333333</v>
      </c>
      <c r="F156" s="31" t="n">
        <v>12.1378666666667</v>
      </c>
      <c r="G156" s="31" t="n">
        <v>10.1148888888889</v>
      </c>
      <c r="H156" s="31" t="n">
        <v>77.3789</v>
      </c>
      <c r="I156" s="31" t="n">
        <f aca="false">H156-F156</f>
        <v>65.2410333333333</v>
      </c>
      <c r="J156" s="26" t="s">
        <v>169</v>
      </c>
    </row>
    <row r="157" customFormat="false" ht="15" hidden="false" customHeight="true" outlineLevel="0" collapsed="false">
      <c r="A157" s="26" t="s">
        <v>220</v>
      </c>
      <c r="B157" s="26" t="s">
        <v>272</v>
      </c>
      <c r="C157" s="41" t="n">
        <v>98.95</v>
      </c>
      <c r="D157" s="31" t="n">
        <v>91.034</v>
      </c>
      <c r="E157" s="31" t="n">
        <v>15.1723333333333</v>
      </c>
      <c r="F157" s="31" t="n">
        <v>12.1378666666667</v>
      </c>
      <c r="G157" s="31" t="n">
        <v>10.1148888888889</v>
      </c>
      <c r="H157" s="31" t="n">
        <v>77.3789</v>
      </c>
      <c r="I157" s="31" t="n">
        <f aca="false">H157-F157</f>
        <v>65.2410333333333</v>
      </c>
      <c r="J157" s="26" t="s">
        <v>169</v>
      </c>
    </row>
    <row r="158" customFormat="false" ht="15" hidden="false" customHeight="true" outlineLevel="0" collapsed="false">
      <c r="A158" s="25" t="s">
        <v>122</v>
      </c>
      <c r="B158" s="25" t="s">
        <v>273</v>
      </c>
      <c r="C158" s="42" t="n">
        <v>97</v>
      </c>
      <c r="D158" s="43" t="n">
        <v>89.24</v>
      </c>
      <c r="E158" s="43" t="n">
        <v>14.8733333333333</v>
      </c>
      <c r="F158" s="43" t="n">
        <v>11.8986666666667</v>
      </c>
      <c r="G158" s="43" t="n">
        <v>9.91555555555556</v>
      </c>
      <c r="H158" s="43" t="n">
        <v>75.854</v>
      </c>
      <c r="I158" s="43" t="n">
        <f aca="false">H158-F158</f>
        <v>63.9553333333333</v>
      </c>
      <c r="J158" s="25" t="s">
        <v>119</v>
      </c>
    </row>
    <row r="159" customFormat="false" ht="15" hidden="false" customHeight="true" outlineLevel="0" collapsed="false">
      <c r="A159" s="25" t="s">
        <v>220</v>
      </c>
      <c r="B159" s="25" t="s">
        <v>274</v>
      </c>
      <c r="C159" s="42" t="n">
        <v>95.99</v>
      </c>
      <c r="D159" s="43" t="n">
        <v>88.3108</v>
      </c>
      <c r="E159" s="43" t="n">
        <v>14.7184666666667</v>
      </c>
      <c r="F159" s="43" t="n">
        <v>11.7747733333333</v>
      </c>
      <c r="G159" s="43" t="n">
        <v>9.81231111111111</v>
      </c>
      <c r="H159" s="43" t="n">
        <v>75.06418</v>
      </c>
      <c r="I159" s="43" t="n">
        <f aca="false">H159-F159</f>
        <v>63.2894066666667</v>
      </c>
      <c r="J159" s="25" t="s">
        <v>169</v>
      </c>
    </row>
    <row r="160" customFormat="false" ht="15" hidden="false" customHeight="true" outlineLevel="0" collapsed="false">
      <c r="A160" s="26" t="s">
        <v>220</v>
      </c>
      <c r="B160" s="26" t="s">
        <v>275</v>
      </c>
      <c r="C160" s="41" t="n">
        <v>95.99</v>
      </c>
      <c r="D160" s="31" t="n">
        <v>88.3108</v>
      </c>
      <c r="E160" s="31" t="n">
        <v>14.7184666666667</v>
      </c>
      <c r="F160" s="31" t="n">
        <v>11.7747733333333</v>
      </c>
      <c r="G160" s="31" t="n">
        <v>9.81231111111111</v>
      </c>
      <c r="H160" s="31" t="n">
        <v>75.06418</v>
      </c>
      <c r="I160" s="31" t="n">
        <f aca="false">H160-F160</f>
        <v>63.2894066666667</v>
      </c>
      <c r="J160" s="26" t="s">
        <v>169</v>
      </c>
    </row>
    <row r="161" customFormat="false" ht="15" hidden="false" customHeight="true" outlineLevel="0" collapsed="false">
      <c r="A161" s="25" t="s">
        <v>220</v>
      </c>
      <c r="B161" s="25" t="s">
        <v>276</v>
      </c>
      <c r="C161" s="42" t="n">
        <v>95.99</v>
      </c>
      <c r="D161" s="43" t="n">
        <v>88.3108</v>
      </c>
      <c r="E161" s="43" t="n">
        <v>14.7184666666667</v>
      </c>
      <c r="F161" s="43" t="n">
        <v>11.7747733333333</v>
      </c>
      <c r="G161" s="43" t="n">
        <v>9.81231111111111</v>
      </c>
      <c r="H161" s="43" t="n">
        <v>75.06418</v>
      </c>
      <c r="I161" s="43" t="n">
        <f aca="false">H161-F161</f>
        <v>63.2894066666667</v>
      </c>
      <c r="J161" s="25" t="s">
        <v>169</v>
      </c>
    </row>
    <row r="162" customFormat="false" ht="15" hidden="false" customHeight="true" outlineLevel="0" collapsed="false">
      <c r="A162" s="25" t="s">
        <v>220</v>
      </c>
      <c r="B162" s="25" t="s">
        <v>277</v>
      </c>
      <c r="C162" s="42" t="n">
        <v>95.99</v>
      </c>
      <c r="D162" s="43" t="n">
        <v>88.3108</v>
      </c>
      <c r="E162" s="43" t="n">
        <v>14.7184666666667</v>
      </c>
      <c r="F162" s="43" t="n">
        <v>11.7747733333333</v>
      </c>
      <c r="G162" s="43" t="n">
        <v>9.81231111111111</v>
      </c>
      <c r="H162" s="43" t="n">
        <v>75.06418</v>
      </c>
      <c r="I162" s="43" t="n">
        <f aca="false">H162-F162</f>
        <v>63.2894066666667</v>
      </c>
      <c r="J162" s="25" t="s">
        <v>169</v>
      </c>
    </row>
    <row r="163" customFormat="false" ht="15" hidden="false" customHeight="true" outlineLevel="0" collapsed="false">
      <c r="A163" s="26" t="s">
        <v>220</v>
      </c>
      <c r="B163" s="26" t="s">
        <v>278</v>
      </c>
      <c r="C163" s="41" t="n">
        <v>95.99</v>
      </c>
      <c r="D163" s="31" t="n">
        <v>88.3108</v>
      </c>
      <c r="E163" s="31" t="n">
        <v>14.7184666666667</v>
      </c>
      <c r="F163" s="31" t="n">
        <v>11.7747733333333</v>
      </c>
      <c r="G163" s="31" t="n">
        <v>9.81231111111111</v>
      </c>
      <c r="H163" s="31" t="n">
        <v>75.06418</v>
      </c>
      <c r="I163" s="31" t="n">
        <f aca="false">H163-F163</f>
        <v>63.2894066666667</v>
      </c>
      <c r="J163" s="26" t="s">
        <v>169</v>
      </c>
    </row>
    <row r="164" customFormat="false" ht="15" hidden="false" customHeight="true" outlineLevel="0" collapsed="false">
      <c r="A164" s="25" t="s">
        <v>220</v>
      </c>
      <c r="B164" s="25" t="s">
        <v>279</v>
      </c>
      <c r="C164" s="42" t="n">
        <v>95.99</v>
      </c>
      <c r="D164" s="43" t="n">
        <v>88.3108</v>
      </c>
      <c r="E164" s="43" t="n">
        <v>14.7184666666667</v>
      </c>
      <c r="F164" s="43" t="n">
        <v>11.7747733333333</v>
      </c>
      <c r="G164" s="43" t="n">
        <v>9.81231111111111</v>
      </c>
      <c r="H164" s="43" t="n">
        <v>75.06418</v>
      </c>
      <c r="I164" s="43" t="n">
        <f aca="false">H164-F164</f>
        <v>63.2894066666667</v>
      </c>
      <c r="J164" s="25" t="s">
        <v>169</v>
      </c>
    </row>
    <row r="165" customFormat="false" ht="15" hidden="false" customHeight="true" outlineLevel="0" collapsed="false">
      <c r="A165" s="26" t="s">
        <v>220</v>
      </c>
      <c r="B165" s="26" t="s">
        <v>280</v>
      </c>
      <c r="C165" s="41" t="n">
        <v>95.95</v>
      </c>
      <c r="D165" s="31" t="n">
        <v>88.274</v>
      </c>
      <c r="E165" s="31" t="n">
        <v>14.7123333333333</v>
      </c>
      <c r="F165" s="31" t="n">
        <v>11.7698666666667</v>
      </c>
      <c r="G165" s="31" t="n">
        <v>9.80822222222222</v>
      </c>
      <c r="H165" s="31" t="n">
        <v>75.0329</v>
      </c>
      <c r="I165" s="31" t="n">
        <f aca="false">H165-F165</f>
        <v>63.2630333333333</v>
      </c>
      <c r="J165" s="26" t="s">
        <v>169</v>
      </c>
    </row>
    <row r="166" customFormat="false" ht="15" hidden="false" customHeight="true" outlineLevel="0" collapsed="false">
      <c r="A166" s="25" t="s">
        <v>122</v>
      </c>
      <c r="B166" s="25" t="s">
        <v>281</v>
      </c>
      <c r="C166" s="42" t="n">
        <v>95.65</v>
      </c>
      <c r="D166" s="43" t="n">
        <v>87.998</v>
      </c>
      <c r="E166" s="43" t="n">
        <v>14.6663333333333</v>
      </c>
      <c r="F166" s="43" t="n">
        <v>11.7330666666667</v>
      </c>
      <c r="G166" s="43" t="n">
        <v>9.77755555555556</v>
      </c>
      <c r="H166" s="43" t="n">
        <v>74.7983</v>
      </c>
      <c r="I166" s="43" t="n">
        <f aca="false">H166-F166</f>
        <v>63.0652333333333</v>
      </c>
      <c r="J166" s="25" t="s">
        <v>119</v>
      </c>
    </row>
    <row r="167" customFormat="false" ht="15" hidden="false" customHeight="true" outlineLevel="0" collapsed="false">
      <c r="A167" s="26" t="s">
        <v>117</v>
      </c>
      <c r="B167" s="26" t="s">
        <v>282</v>
      </c>
      <c r="C167" s="41" t="n">
        <v>94.99</v>
      </c>
      <c r="D167" s="31" t="n">
        <v>87.3908</v>
      </c>
      <c r="E167" s="31" t="n">
        <v>14.5651333333333</v>
      </c>
      <c r="F167" s="31" t="n">
        <v>11.6521066666667</v>
      </c>
      <c r="G167" s="31" t="n">
        <v>9.71008888888889</v>
      </c>
      <c r="H167" s="31" t="n">
        <v>74.28218</v>
      </c>
      <c r="I167" s="31" t="n">
        <f aca="false">H167-F167</f>
        <v>62.6300733333333</v>
      </c>
      <c r="J167" s="26" t="s">
        <v>119</v>
      </c>
    </row>
    <row r="168" customFormat="false" ht="15" hidden="false" customHeight="true" outlineLevel="0" collapsed="false">
      <c r="A168" s="25" t="s">
        <v>117</v>
      </c>
      <c r="B168" s="25" t="s">
        <v>283</v>
      </c>
      <c r="C168" s="42" t="n">
        <v>94.1</v>
      </c>
      <c r="D168" s="43" t="n">
        <v>86.572</v>
      </c>
      <c r="E168" s="43" t="n">
        <v>14.4286666666667</v>
      </c>
      <c r="F168" s="43" t="n">
        <v>11.5429333333333</v>
      </c>
      <c r="G168" s="43" t="n">
        <v>9.61911111111111</v>
      </c>
      <c r="H168" s="43" t="n">
        <v>73.5862</v>
      </c>
      <c r="I168" s="43" t="n">
        <f aca="false">H168-F168</f>
        <v>62.0432666666667</v>
      </c>
      <c r="J168" s="25" t="s">
        <v>119</v>
      </c>
    </row>
    <row r="169" customFormat="false" ht="15" hidden="false" customHeight="true" outlineLevel="0" collapsed="false">
      <c r="A169" s="25" t="s">
        <v>154</v>
      </c>
      <c r="B169" s="25" t="s">
        <v>284</v>
      </c>
      <c r="C169" s="42" t="n">
        <v>90.5</v>
      </c>
      <c r="D169" s="43" t="n">
        <v>83.26</v>
      </c>
      <c r="E169" s="43" t="n">
        <v>13.8766666666667</v>
      </c>
      <c r="F169" s="43" t="n">
        <v>11.1013333333333</v>
      </c>
      <c r="G169" s="43" t="n">
        <v>9.25111111111111</v>
      </c>
      <c r="H169" s="43" t="n">
        <v>70.771</v>
      </c>
      <c r="I169" s="43" t="n">
        <f aca="false">H169-F169</f>
        <v>59.6696666666667</v>
      </c>
      <c r="J169" s="25" t="s">
        <v>119</v>
      </c>
    </row>
    <row r="170" customFormat="false" ht="15" hidden="false" customHeight="true" outlineLevel="0" collapsed="false">
      <c r="A170" s="26" t="s">
        <v>252</v>
      </c>
      <c r="B170" s="26" t="s">
        <v>285</v>
      </c>
      <c r="C170" s="41" t="n">
        <v>89.99</v>
      </c>
      <c r="D170" s="31" t="n">
        <v>82.7908</v>
      </c>
      <c r="E170" s="31" t="n">
        <v>13.7984666666667</v>
      </c>
      <c r="F170" s="31" t="n">
        <v>11.0387733333333</v>
      </c>
      <c r="G170" s="31" t="n">
        <v>9.19897777777778</v>
      </c>
      <c r="H170" s="31" t="n">
        <v>70.37218</v>
      </c>
      <c r="I170" s="31" t="n">
        <f aca="false">H170-F170</f>
        <v>59.3334066666667</v>
      </c>
      <c r="J170" s="26" t="s">
        <v>169</v>
      </c>
    </row>
    <row r="171" customFormat="false" ht="15" hidden="false" customHeight="true" outlineLevel="0" collapsed="false">
      <c r="A171" s="25" t="s">
        <v>220</v>
      </c>
      <c r="B171" s="25" t="s">
        <v>286</v>
      </c>
      <c r="C171" s="42" t="n">
        <v>89.95</v>
      </c>
      <c r="D171" s="43" t="n">
        <v>82.754</v>
      </c>
      <c r="E171" s="43" t="n">
        <v>13.7923333333333</v>
      </c>
      <c r="F171" s="43" t="n">
        <v>11.0338666666667</v>
      </c>
      <c r="G171" s="43" t="n">
        <v>9.19488888888889</v>
      </c>
      <c r="H171" s="43" t="n">
        <v>70.3409</v>
      </c>
      <c r="I171" s="43" t="n">
        <f aca="false">H171-F171</f>
        <v>59.3070333333333</v>
      </c>
      <c r="J171" s="25" t="s">
        <v>169</v>
      </c>
    </row>
    <row r="172" customFormat="false" ht="15" hidden="false" customHeight="true" outlineLevel="0" collapsed="false">
      <c r="A172" s="25" t="s">
        <v>220</v>
      </c>
      <c r="B172" s="25" t="s">
        <v>287</v>
      </c>
      <c r="C172" s="42" t="n">
        <v>89.95</v>
      </c>
      <c r="D172" s="43" t="n">
        <v>82.754</v>
      </c>
      <c r="E172" s="43" t="n">
        <v>13.7923333333333</v>
      </c>
      <c r="F172" s="43" t="n">
        <v>11.0338666666667</v>
      </c>
      <c r="G172" s="43" t="n">
        <v>9.19488888888889</v>
      </c>
      <c r="H172" s="43" t="n">
        <v>70.3409</v>
      </c>
      <c r="I172" s="43" t="n">
        <f aca="false">H172-F172</f>
        <v>59.3070333333333</v>
      </c>
      <c r="J172" s="25" t="s">
        <v>169</v>
      </c>
    </row>
    <row r="173" customFormat="false" ht="15" hidden="false" customHeight="true" outlineLevel="0" collapsed="false">
      <c r="A173" s="26" t="s">
        <v>203</v>
      </c>
      <c r="B173" s="26" t="s">
        <v>288</v>
      </c>
      <c r="C173" s="41" t="n">
        <v>89.95</v>
      </c>
      <c r="D173" s="31" t="n">
        <v>82.754</v>
      </c>
      <c r="E173" s="31" t="n">
        <v>13.7923333333333</v>
      </c>
      <c r="F173" s="31" t="n">
        <v>11.0338666666667</v>
      </c>
      <c r="G173" s="31" t="n">
        <v>9.19488888888889</v>
      </c>
      <c r="H173" s="31" t="n">
        <v>70.3409</v>
      </c>
      <c r="I173" s="31" t="n">
        <f aca="false">H173-F173</f>
        <v>59.3070333333333</v>
      </c>
      <c r="J173" s="26" t="s">
        <v>169</v>
      </c>
    </row>
    <row r="174" customFormat="false" ht="15" hidden="false" customHeight="true" outlineLevel="0" collapsed="false">
      <c r="A174" s="25" t="s">
        <v>203</v>
      </c>
      <c r="B174" s="25" t="s">
        <v>289</v>
      </c>
      <c r="C174" s="42" t="n">
        <v>89.95</v>
      </c>
      <c r="D174" s="43" t="n">
        <v>82.754</v>
      </c>
      <c r="E174" s="43" t="n">
        <v>13.7923333333333</v>
      </c>
      <c r="F174" s="43" t="n">
        <v>11.0338666666667</v>
      </c>
      <c r="G174" s="43" t="n">
        <v>9.19488888888889</v>
      </c>
      <c r="H174" s="43" t="n">
        <v>70.3409</v>
      </c>
      <c r="I174" s="43" t="n">
        <f aca="false">H174-F174</f>
        <v>59.3070333333333</v>
      </c>
      <c r="J174" s="25" t="s">
        <v>169</v>
      </c>
    </row>
    <row r="175" customFormat="false" ht="15" hidden="false" customHeight="true" outlineLevel="0" collapsed="false">
      <c r="A175" s="26" t="s">
        <v>203</v>
      </c>
      <c r="B175" s="26" t="s">
        <v>290</v>
      </c>
      <c r="C175" s="41" t="n">
        <v>89.95</v>
      </c>
      <c r="D175" s="31" t="n">
        <v>82.754</v>
      </c>
      <c r="E175" s="31" t="n">
        <v>13.7923333333333</v>
      </c>
      <c r="F175" s="31" t="n">
        <v>11.0338666666667</v>
      </c>
      <c r="G175" s="31" t="n">
        <v>9.19488888888889</v>
      </c>
      <c r="H175" s="31" t="n">
        <v>70.3409</v>
      </c>
      <c r="I175" s="31" t="n">
        <f aca="false">H175-F175</f>
        <v>59.3070333333333</v>
      </c>
      <c r="J175" s="26" t="s">
        <v>169</v>
      </c>
    </row>
    <row r="176" customFormat="false" ht="15" hidden="false" customHeight="true" outlineLevel="0" collapsed="false">
      <c r="A176" s="26" t="s">
        <v>203</v>
      </c>
      <c r="B176" s="26" t="s">
        <v>291</v>
      </c>
      <c r="C176" s="41" t="n">
        <v>89.95</v>
      </c>
      <c r="D176" s="31" t="n">
        <v>82.754</v>
      </c>
      <c r="E176" s="31" t="n">
        <v>13.7923333333333</v>
      </c>
      <c r="F176" s="31" t="n">
        <v>11.0338666666667</v>
      </c>
      <c r="G176" s="31" t="n">
        <v>9.19488888888889</v>
      </c>
      <c r="H176" s="31" t="n">
        <v>70.3409</v>
      </c>
      <c r="I176" s="31" t="n">
        <f aca="false">H176-F176</f>
        <v>59.3070333333333</v>
      </c>
      <c r="J176" s="26" t="s">
        <v>169</v>
      </c>
    </row>
    <row r="177" customFormat="false" ht="15" hidden="false" customHeight="true" outlineLevel="0" collapsed="false">
      <c r="A177" s="25" t="s">
        <v>203</v>
      </c>
      <c r="B177" s="25" t="s">
        <v>292</v>
      </c>
      <c r="C177" s="42" t="n">
        <v>89.95</v>
      </c>
      <c r="D177" s="43" t="n">
        <v>82.754</v>
      </c>
      <c r="E177" s="43" t="n">
        <v>13.7923333333333</v>
      </c>
      <c r="F177" s="43" t="n">
        <v>11.0338666666667</v>
      </c>
      <c r="G177" s="43" t="n">
        <v>9.19488888888889</v>
      </c>
      <c r="H177" s="43" t="n">
        <v>70.3409</v>
      </c>
      <c r="I177" s="43" t="n">
        <f aca="false">H177-F177</f>
        <v>59.3070333333333</v>
      </c>
      <c r="J177" s="25" t="s">
        <v>169</v>
      </c>
    </row>
    <row r="178" customFormat="false" ht="15" hidden="false" customHeight="true" outlineLevel="0" collapsed="false">
      <c r="A178" s="26" t="s">
        <v>203</v>
      </c>
      <c r="B178" s="26" t="s">
        <v>293</v>
      </c>
      <c r="C178" s="41" t="n">
        <v>89.95</v>
      </c>
      <c r="D178" s="31" t="n">
        <v>82.754</v>
      </c>
      <c r="E178" s="31" t="n">
        <v>13.7923333333333</v>
      </c>
      <c r="F178" s="31" t="n">
        <v>11.0338666666667</v>
      </c>
      <c r="G178" s="31" t="n">
        <v>9.19488888888889</v>
      </c>
      <c r="H178" s="31" t="n">
        <v>70.3409</v>
      </c>
      <c r="I178" s="31" t="n">
        <f aca="false">H178-F178</f>
        <v>59.3070333333333</v>
      </c>
      <c r="J178" s="26" t="s">
        <v>169</v>
      </c>
    </row>
    <row r="179" customFormat="false" ht="15" hidden="false" customHeight="true" outlineLevel="0" collapsed="false">
      <c r="A179" s="25" t="s">
        <v>203</v>
      </c>
      <c r="B179" s="25" t="s">
        <v>294</v>
      </c>
      <c r="C179" s="42" t="n">
        <v>89.95</v>
      </c>
      <c r="D179" s="43" t="n">
        <v>82.754</v>
      </c>
      <c r="E179" s="43" t="n">
        <v>13.7923333333333</v>
      </c>
      <c r="F179" s="43" t="n">
        <v>11.0338666666667</v>
      </c>
      <c r="G179" s="43" t="n">
        <v>9.19488888888889</v>
      </c>
      <c r="H179" s="43" t="n">
        <v>70.3409</v>
      </c>
      <c r="I179" s="43" t="n">
        <f aca="false">H179-F179</f>
        <v>59.3070333333333</v>
      </c>
      <c r="J179" s="25" t="s">
        <v>169</v>
      </c>
    </row>
    <row r="180" customFormat="false" ht="15" hidden="false" customHeight="true" outlineLevel="0" collapsed="false">
      <c r="A180" s="26" t="s">
        <v>133</v>
      </c>
      <c r="B180" s="26" t="s">
        <v>295</v>
      </c>
      <c r="C180" s="41" t="n">
        <v>87.55</v>
      </c>
      <c r="D180" s="31" t="n">
        <v>80.546</v>
      </c>
      <c r="E180" s="31" t="n">
        <v>13.4243333333333</v>
      </c>
      <c r="F180" s="31" t="n">
        <v>10.7394666666667</v>
      </c>
      <c r="G180" s="31" t="n">
        <v>8.94955555555556</v>
      </c>
      <c r="H180" s="31" t="n">
        <v>68.4641</v>
      </c>
      <c r="I180" s="31" t="n">
        <f aca="false">H180-F180</f>
        <v>57.7246333333333</v>
      </c>
      <c r="J180" s="26" t="s">
        <v>119</v>
      </c>
    </row>
    <row r="181" customFormat="false" ht="15" hidden="false" customHeight="true" outlineLevel="0" collapsed="false">
      <c r="A181" s="25" t="s">
        <v>154</v>
      </c>
      <c r="B181" s="25" t="s">
        <v>296</v>
      </c>
      <c r="C181" s="42" t="n">
        <v>85.5</v>
      </c>
      <c r="D181" s="43" t="n">
        <v>78.66</v>
      </c>
      <c r="E181" s="43" t="n">
        <v>13.11</v>
      </c>
      <c r="F181" s="43" t="n">
        <v>10.488</v>
      </c>
      <c r="G181" s="43" t="n">
        <v>8.74</v>
      </c>
      <c r="H181" s="43" t="n">
        <v>66.861</v>
      </c>
      <c r="I181" s="43" t="n">
        <f aca="false">H181-F181</f>
        <v>56.373</v>
      </c>
      <c r="J181" s="25" t="s">
        <v>119</v>
      </c>
    </row>
    <row r="182" customFormat="false" ht="15" hidden="false" customHeight="true" outlineLevel="0" collapsed="false">
      <c r="A182" s="26" t="s">
        <v>133</v>
      </c>
      <c r="B182" s="26" t="s">
        <v>297</v>
      </c>
      <c r="C182" s="41" t="n">
        <v>80.88</v>
      </c>
      <c r="D182" s="31" t="n">
        <v>74.4096</v>
      </c>
      <c r="E182" s="31" t="n">
        <v>12.4016</v>
      </c>
      <c r="F182" s="31" t="n">
        <v>9.92128</v>
      </c>
      <c r="G182" s="31" t="n">
        <v>8.26773333333333</v>
      </c>
      <c r="H182" s="31" t="n">
        <v>63.24816</v>
      </c>
      <c r="I182" s="31" t="n">
        <f aca="false">H182-F182</f>
        <v>53.32688</v>
      </c>
      <c r="J182" s="26" t="s">
        <v>119</v>
      </c>
    </row>
    <row r="183" customFormat="false" ht="15" hidden="false" customHeight="true" outlineLevel="0" collapsed="false">
      <c r="A183" s="26" t="s">
        <v>220</v>
      </c>
      <c r="B183" s="26" t="s">
        <v>298</v>
      </c>
      <c r="C183" s="41" t="n">
        <v>79.95</v>
      </c>
      <c r="D183" s="31" t="n">
        <v>73.554</v>
      </c>
      <c r="E183" s="31" t="n">
        <v>12.259</v>
      </c>
      <c r="F183" s="31" t="n">
        <v>9.8072</v>
      </c>
      <c r="G183" s="31" t="n">
        <v>8.17266666666667</v>
      </c>
      <c r="H183" s="31" t="n">
        <v>62.5209</v>
      </c>
      <c r="I183" s="31" t="n">
        <f aca="false">H183-F183</f>
        <v>52.7137</v>
      </c>
      <c r="J183" s="26" t="s">
        <v>169</v>
      </c>
    </row>
    <row r="184" customFormat="false" ht="15" hidden="false" customHeight="true" outlineLevel="0" collapsed="false">
      <c r="A184" s="26" t="s">
        <v>220</v>
      </c>
      <c r="B184" s="26" t="s">
        <v>299</v>
      </c>
      <c r="C184" s="41" t="n">
        <v>79.95</v>
      </c>
      <c r="D184" s="31" t="n">
        <v>73.554</v>
      </c>
      <c r="E184" s="31" t="n">
        <v>12.259</v>
      </c>
      <c r="F184" s="31" t="n">
        <v>9.8072</v>
      </c>
      <c r="G184" s="31" t="n">
        <v>8.17266666666667</v>
      </c>
      <c r="H184" s="31" t="n">
        <v>62.5209</v>
      </c>
      <c r="I184" s="31" t="n">
        <f aca="false">H184-F184</f>
        <v>52.7137</v>
      </c>
      <c r="J184" s="26" t="s">
        <v>169</v>
      </c>
    </row>
    <row r="185" customFormat="false" ht="15" hidden="false" customHeight="true" outlineLevel="0" collapsed="false">
      <c r="A185" s="26" t="s">
        <v>220</v>
      </c>
      <c r="B185" s="26" t="s">
        <v>300</v>
      </c>
      <c r="C185" s="41" t="n">
        <v>78.5</v>
      </c>
      <c r="D185" s="31" t="n">
        <v>72.22</v>
      </c>
      <c r="E185" s="31" t="n">
        <v>12.0366666666667</v>
      </c>
      <c r="F185" s="31" t="n">
        <v>9.62933333333333</v>
      </c>
      <c r="G185" s="31" t="n">
        <v>8.02444444444445</v>
      </c>
      <c r="H185" s="31" t="n">
        <v>61.387</v>
      </c>
      <c r="I185" s="31" t="n">
        <f aca="false">H185-F185</f>
        <v>51.7576666666667</v>
      </c>
      <c r="J185" s="26" t="s">
        <v>169</v>
      </c>
    </row>
    <row r="186" customFormat="false" ht="15" hidden="false" customHeight="true" outlineLevel="0" collapsed="false">
      <c r="A186" s="26" t="s">
        <v>154</v>
      </c>
      <c r="B186" s="26" t="s">
        <v>212</v>
      </c>
      <c r="C186" s="41" t="n">
        <v>75</v>
      </c>
      <c r="D186" s="31" t="n">
        <v>69</v>
      </c>
      <c r="E186" s="31" t="n">
        <v>11.5</v>
      </c>
      <c r="F186" s="31" t="n">
        <v>9.2</v>
      </c>
      <c r="G186" s="31" t="n">
        <v>7.66666666666667</v>
      </c>
      <c r="H186" s="31" t="n">
        <v>58.65</v>
      </c>
      <c r="I186" s="31" t="n">
        <f aca="false">H186-F186</f>
        <v>49.45</v>
      </c>
      <c r="J186" s="26" t="s">
        <v>119</v>
      </c>
    </row>
    <row r="187" customFormat="false" ht="15" hidden="false" customHeight="true" outlineLevel="0" collapsed="false">
      <c r="A187" s="26" t="s">
        <v>220</v>
      </c>
      <c r="B187" s="26" t="s">
        <v>301</v>
      </c>
      <c r="C187" s="41" t="n">
        <v>69.95</v>
      </c>
      <c r="D187" s="31" t="n">
        <v>64.354</v>
      </c>
      <c r="E187" s="31" t="n">
        <v>10.7256666666667</v>
      </c>
      <c r="F187" s="31" t="n">
        <v>8.58053333333333</v>
      </c>
      <c r="G187" s="31" t="n">
        <v>7.15044444444444</v>
      </c>
      <c r="H187" s="31" t="n">
        <v>54.7009</v>
      </c>
      <c r="I187" s="31" t="n">
        <f aca="false">H187-F187</f>
        <v>46.1203666666667</v>
      </c>
      <c r="J187" s="26" t="s">
        <v>169</v>
      </c>
    </row>
    <row r="188" customFormat="false" ht="15" hidden="false" customHeight="true" outlineLevel="0" collapsed="false">
      <c r="A188" s="25" t="s">
        <v>154</v>
      </c>
      <c r="B188" s="25" t="s">
        <v>302</v>
      </c>
      <c r="C188" s="42" t="n">
        <v>69.9</v>
      </c>
      <c r="D188" s="43" t="n">
        <v>64.308</v>
      </c>
      <c r="E188" s="43" t="n">
        <v>10.718</v>
      </c>
      <c r="F188" s="43" t="n">
        <v>8.5744</v>
      </c>
      <c r="G188" s="43" t="n">
        <v>7.14533333333333</v>
      </c>
      <c r="H188" s="43" t="n">
        <v>54.6618</v>
      </c>
      <c r="I188" s="43" t="n">
        <f aca="false">H188-F188</f>
        <v>46.0874</v>
      </c>
      <c r="J188" s="25" t="s">
        <v>119</v>
      </c>
    </row>
    <row r="189" customFormat="false" ht="15" hidden="false" customHeight="true" outlineLevel="0" collapsed="false">
      <c r="A189" s="26" t="s">
        <v>133</v>
      </c>
      <c r="B189" s="26" t="s">
        <v>303</v>
      </c>
      <c r="C189" s="41" t="n">
        <v>67.3</v>
      </c>
      <c r="D189" s="31" t="n">
        <v>61.916</v>
      </c>
      <c r="E189" s="31" t="n">
        <v>10.3193333333333</v>
      </c>
      <c r="F189" s="31" t="n">
        <v>8.25546666666667</v>
      </c>
      <c r="G189" s="31" t="n">
        <v>6.87955555555556</v>
      </c>
      <c r="H189" s="31" t="n">
        <v>52.6286</v>
      </c>
      <c r="I189" s="31" t="n">
        <f aca="false">H189-F189</f>
        <v>44.3731333333333</v>
      </c>
      <c r="J189" s="26" t="s">
        <v>119</v>
      </c>
    </row>
    <row r="190" customFormat="false" ht="15" hidden="false" customHeight="true" outlineLevel="0" collapsed="false">
      <c r="A190" s="25" t="s">
        <v>220</v>
      </c>
      <c r="B190" s="25" t="s">
        <v>304</v>
      </c>
      <c r="C190" s="42" t="n">
        <v>66.5</v>
      </c>
      <c r="D190" s="43" t="n">
        <v>61.18</v>
      </c>
      <c r="E190" s="43" t="n">
        <v>10.1966666666667</v>
      </c>
      <c r="F190" s="43" t="n">
        <v>8.15733333333333</v>
      </c>
      <c r="G190" s="43" t="n">
        <v>6.79777777777778</v>
      </c>
      <c r="H190" s="43" t="n">
        <v>52.003</v>
      </c>
      <c r="I190" s="43" t="n">
        <f aca="false">H190-F190</f>
        <v>43.8456666666667</v>
      </c>
      <c r="J190" s="25" t="s">
        <v>169</v>
      </c>
    </row>
    <row r="191" customFormat="false" ht="15" hidden="false" customHeight="true" outlineLevel="0" collapsed="false">
      <c r="A191" s="25" t="s">
        <v>220</v>
      </c>
      <c r="B191" s="25" t="s">
        <v>305</v>
      </c>
      <c r="C191" s="42" t="n">
        <v>65.95</v>
      </c>
      <c r="D191" s="43" t="n">
        <v>60.674</v>
      </c>
      <c r="E191" s="43" t="n">
        <v>10.1123333333333</v>
      </c>
      <c r="F191" s="43" t="n">
        <v>8.08986666666667</v>
      </c>
      <c r="G191" s="43" t="n">
        <v>6.74155555555556</v>
      </c>
      <c r="H191" s="43" t="n">
        <v>51.5729</v>
      </c>
      <c r="I191" s="43" t="n">
        <f aca="false">H191-F191</f>
        <v>43.4830333333333</v>
      </c>
      <c r="J191" s="25" t="s">
        <v>169</v>
      </c>
    </row>
    <row r="192" customFormat="false" ht="15" hidden="false" customHeight="true" outlineLevel="0" collapsed="false">
      <c r="A192" s="25" t="s">
        <v>122</v>
      </c>
      <c r="B192" s="25" t="s">
        <v>306</v>
      </c>
      <c r="C192" s="42" t="n">
        <v>63.17</v>
      </c>
      <c r="D192" s="43" t="n">
        <v>58.1164</v>
      </c>
      <c r="E192" s="43" t="n">
        <v>9.68606666666667</v>
      </c>
      <c r="F192" s="43" t="n">
        <v>7.74885333333333</v>
      </c>
      <c r="G192" s="43" t="n">
        <v>6.45737777777778</v>
      </c>
      <c r="H192" s="43" t="n">
        <v>49.39894</v>
      </c>
      <c r="I192" s="43" t="n">
        <f aca="false">H192-F192</f>
        <v>41.6500866666667</v>
      </c>
      <c r="J192" s="25" t="s">
        <v>119</v>
      </c>
    </row>
    <row r="193" customFormat="false" ht="15" hidden="false" customHeight="true" outlineLevel="0" collapsed="false">
      <c r="A193" s="25" t="s">
        <v>133</v>
      </c>
      <c r="B193" s="25" t="s">
        <v>307</v>
      </c>
      <c r="C193" s="42" t="n">
        <v>63</v>
      </c>
      <c r="D193" s="43" t="n">
        <v>57.96</v>
      </c>
      <c r="E193" s="43" t="n">
        <v>9.66</v>
      </c>
      <c r="F193" s="43" t="n">
        <v>7.728</v>
      </c>
      <c r="G193" s="43" t="n">
        <v>6.44</v>
      </c>
      <c r="H193" s="43" t="n">
        <v>49.266</v>
      </c>
      <c r="I193" s="43" t="n">
        <f aca="false">H193-F193</f>
        <v>41.538</v>
      </c>
      <c r="J193" s="25" t="s">
        <v>119</v>
      </c>
    </row>
    <row r="194" customFormat="false" ht="15" hidden="false" customHeight="true" outlineLevel="0" collapsed="false">
      <c r="A194" s="25" t="s">
        <v>149</v>
      </c>
      <c r="B194" s="25" t="s">
        <v>308</v>
      </c>
      <c r="C194" s="42" t="n">
        <v>60</v>
      </c>
      <c r="D194" s="43" t="n">
        <v>55.2</v>
      </c>
      <c r="E194" s="43" t="n">
        <v>9.2</v>
      </c>
      <c r="F194" s="43" t="n">
        <v>7.36</v>
      </c>
      <c r="G194" s="43" t="n">
        <v>6.13333333333333</v>
      </c>
      <c r="H194" s="43" t="n">
        <v>46.92</v>
      </c>
      <c r="I194" s="43" t="n">
        <f aca="false">H194-F194</f>
        <v>39.56</v>
      </c>
      <c r="J194" s="25" t="s">
        <v>119</v>
      </c>
    </row>
    <row r="195" customFormat="false" ht="15" hidden="false" customHeight="true" outlineLevel="0" collapsed="false">
      <c r="A195" s="26" t="s">
        <v>154</v>
      </c>
      <c r="B195" s="26" t="s">
        <v>309</v>
      </c>
      <c r="C195" s="41" t="n">
        <v>58.9</v>
      </c>
      <c r="D195" s="31" t="n">
        <v>54.188</v>
      </c>
      <c r="E195" s="31" t="n">
        <v>9.03133333333333</v>
      </c>
      <c r="F195" s="31" t="n">
        <v>7.22506666666667</v>
      </c>
      <c r="G195" s="31" t="n">
        <v>6.02088888888889</v>
      </c>
      <c r="H195" s="31" t="n">
        <v>46.0598</v>
      </c>
      <c r="I195" s="31" t="n">
        <f aca="false">H195-F195</f>
        <v>38.8347333333333</v>
      </c>
      <c r="J195" s="26" t="s">
        <v>119</v>
      </c>
    </row>
    <row r="196" customFormat="false" ht="15" hidden="false" customHeight="true" outlineLevel="0" collapsed="false">
      <c r="A196" s="25" t="s">
        <v>220</v>
      </c>
      <c r="B196" s="25" t="s">
        <v>310</v>
      </c>
      <c r="C196" s="42" t="n">
        <v>55</v>
      </c>
      <c r="D196" s="43" t="n">
        <v>50.6</v>
      </c>
      <c r="E196" s="43" t="n">
        <v>8.43333333333333</v>
      </c>
      <c r="F196" s="43" t="n">
        <v>6.74666666666667</v>
      </c>
      <c r="G196" s="43" t="n">
        <v>5.62222222222222</v>
      </c>
      <c r="H196" s="43" t="n">
        <v>43.01</v>
      </c>
      <c r="I196" s="43" t="n">
        <f aca="false">H196-F196</f>
        <v>36.2633333333333</v>
      </c>
      <c r="J196" s="25" t="s">
        <v>169</v>
      </c>
    </row>
    <row r="197" customFormat="false" ht="15" hidden="false" customHeight="true" outlineLevel="0" collapsed="false">
      <c r="A197" s="25" t="s">
        <v>122</v>
      </c>
      <c r="B197" s="25" t="s">
        <v>311</v>
      </c>
      <c r="C197" s="42" t="n">
        <v>55</v>
      </c>
      <c r="D197" s="43" t="n">
        <v>50.6</v>
      </c>
      <c r="E197" s="43" t="n">
        <v>8.43333333333333</v>
      </c>
      <c r="F197" s="43" t="n">
        <v>6.74666666666667</v>
      </c>
      <c r="G197" s="43" t="n">
        <v>5.62222222222222</v>
      </c>
      <c r="H197" s="43" t="n">
        <v>43.01</v>
      </c>
      <c r="I197" s="43" t="n">
        <f aca="false">H197-F197</f>
        <v>36.2633333333333</v>
      </c>
      <c r="J197" s="25" t="s">
        <v>119</v>
      </c>
    </row>
    <row r="198" customFormat="false" ht="15" hidden="false" customHeight="true" outlineLevel="0" collapsed="false">
      <c r="A198" s="26" t="s">
        <v>149</v>
      </c>
      <c r="B198" s="26" t="s">
        <v>312</v>
      </c>
      <c r="C198" s="41" t="n">
        <v>55</v>
      </c>
      <c r="D198" s="31" t="n">
        <v>50.6</v>
      </c>
      <c r="E198" s="31" t="n">
        <v>8.43333333333333</v>
      </c>
      <c r="F198" s="31" t="n">
        <v>6.74666666666667</v>
      </c>
      <c r="G198" s="31" t="n">
        <v>5.62222222222222</v>
      </c>
      <c r="H198" s="31" t="n">
        <v>43.01</v>
      </c>
      <c r="I198" s="31" t="n">
        <f aca="false">H198-F198</f>
        <v>36.2633333333333</v>
      </c>
      <c r="J198" s="26" t="s">
        <v>119</v>
      </c>
    </row>
    <row r="199" customFormat="false" ht="15" hidden="false" customHeight="true" outlineLevel="0" collapsed="false">
      <c r="A199" s="25" t="s">
        <v>215</v>
      </c>
      <c r="B199" s="25" t="s">
        <v>313</v>
      </c>
      <c r="C199" s="42" t="n">
        <v>55</v>
      </c>
      <c r="D199" s="43" t="n">
        <v>50.6</v>
      </c>
      <c r="E199" s="43" t="n">
        <v>8.43333333333333</v>
      </c>
      <c r="F199" s="43" t="n">
        <v>6.74666666666667</v>
      </c>
      <c r="G199" s="43" t="n">
        <v>5.62222222222222</v>
      </c>
      <c r="H199" s="43" t="n">
        <v>43.01</v>
      </c>
      <c r="I199" s="43" t="n">
        <f aca="false">H199-F199</f>
        <v>36.2633333333333</v>
      </c>
      <c r="J199" s="25" t="s">
        <v>119</v>
      </c>
    </row>
    <row r="200" customFormat="false" ht="15" hidden="false" customHeight="true" outlineLevel="0" collapsed="false">
      <c r="A200" s="25" t="s">
        <v>220</v>
      </c>
      <c r="B200" s="25" t="s">
        <v>314</v>
      </c>
      <c r="C200" s="42" t="n">
        <v>54.95</v>
      </c>
      <c r="D200" s="43" t="n">
        <v>50.554</v>
      </c>
      <c r="E200" s="43" t="n">
        <v>8.42566666666667</v>
      </c>
      <c r="F200" s="43" t="n">
        <v>6.74053333333333</v>
      </c>
      <c r="G200" s="43" t="n">
        <v>5.61711111111111</v>
      </c>
      <c r="H200" s="43" t="n">
        <v>42.9709</v>
      </c>
      <c r="I200" s="43" t="n">
        <f aca="false">H200-F200</f>
        <v>36.2303666666667</v>
      </c>
      <c r="J200" s="25" t="s">
        <v>169</v>
      </c>
    </row>
    <row r="201" customFormat="false" ht="15" hidden="false" customHeight="true" outlineLevel="0" collapsed="false">
      <c r="A201" s="26" t="s">
        <v>149</v>
      </c>
      <c r="B201" s="26" t="s">
        <v>315</v>
      </c>
      <c r="C201" s="41" t="n">
        <v>54</v>
      </c>
      <c r="D201" s="31" t="n">
        <v>49.68</v>
      </c>
      <c r="E201" s="31" t="n">
        <v>8.28</v>
      </c>
      <c r="F201" s="31" t="n">
        <v>6.624</v>
      </c>
      <c r="G201" s="31" t="n">
        <v>5.52</v>
      </c>
      <c r="H201" s="31" t="n">
        <v>42.228</v>
      </c>
      <c r="I201" s="31" t="n">
        <f aca="false">H201-F201</f>
        <v>35.604</v>
      </c>
      <c r="J201" s="26" t="s">
        <v>119</v>
      </c>
    </row>
    <row r="202" customFormat="false" ht="15" hidden="false" customHeight="true" outlineLevel="0" collapsed="false">
      <c r="A202" s="26" t="s">
        <v>154</v>
      </c>
      <c r="B202" s="26" t="s">
        <v>316</v>
      </c>
      <c r="C202" s="41" t="n">
        <v>52</v>
      </c>
      <c r="D202" s="31" t="n">
        <v>47.84</v>
      </c>
      <c r="E202" s="31" t="n">
        <v>7.97333333333333</v>
      </c>
      <c r="F202" s="31" t="n">
        <v>6.37866666666667</v>
      </c>
      <c r="G202" s="31" t="n">
        <v>5.31555555555556</v>
      </c>
      <c r="H202" s="31" t="n">
        <v>40.664</v>
      </c>
      <c r="I202" s="31" t="n">
        <f aca="false">H202-F202</f>
        <v>34.2853333333333</v>
      </c>
      <c r="J202" s="26" t="s">
        <v>119</v>
      </c>
    </row>
    <row r="203" customFormat="false" ht="15" hidden="false" customHeight="true" outlineLevel="0" collapsed="false">
      <c r="A203" s="26" t="s">
        <v>215</v>
      </c>
      <c r="B203" s="26" t="s">
        <v>317</v>
      </c>
      <c r="C203" s="41" t="n">
        <v>50</v>
      </c>
      <c r="D203" s="31" t="n">
        <v>46</v>
      </c>
      <c r="E203" s="31" t="n">
        <v>7.66666666666667</v>
      </c>
      <c r="F203" s="31" t="n">
        <v>6.13333333333333</v>
      </c>
      <c r="G203" s="31" t="n">
        <v>5.11111111111111</v>
      </c>
      <c r="H203" s="31" t="n">
        <v>39.1</v>
      </c>
      <c r="I203" s="31" t="n">
        <f aca="false">H203-F203</f>
        <v>32.9666666666667</v>
      </c>
      <c r="J203" s="26" t="s">
        <v>119</v>
      </c>
    </row>
    <row r="204" customFormat="false" ht="15" hidden="false" customHeight="true" outlineLevel="0" collapsed="false">
      <c r="A204" s="26" t="s">
        <v>133</v>
      </c>
      <c r="B204" s="26" t="s">
        <v>318</v>
      </c>
      <c r="C204" s="41" t="n">
        <v>50</v>
      </c>
      <c r="D204" s="31" t="n">
        <v>46</v>
      </c>
      <c r="E204" s="31" t="n">
        <v>7.66666666666667</v>
      </c>
      <c r="F204" s="31" t="n">
        <v>6.13333333333333</v>
      </c>
      <c r="G204" s="31" t="n">
        <v>5.11111111111111</v>
      </c>
      <c r="H204" s="31" t="n">
        <v>39.1</v>
      </c>
      <c r="I204" s="31" t="n">
        <f aca="false">H204-F204</f>
        <v>32.9666666666667</v>
      </c>
      <c r="J204" s="26" t="s">
        <v>119</v>
      </c>
    </row>
    <row r="205" customFormat="false" ht="15" hidden="false" customHeight="true" outlineLevel="0" collapsed="false">
      <c r="A205" s="25" t="s">
        <v>220</v>
      </c>
      <c r="B205" s="25" t="s">
        <v>319</v>
      </c>
      <c r="C205" s="42" t="n">
        <v>49.95</v>
      </c>
      <c r="D205" s="43" t="n">
        <v>45.954</v>
      </c>
      <c r="E205" s="43" t="n">
        <v>7.659</v>
      </c>
      <c r="F205" s="43" t="n">
        <v>6.1272</v>
      </c>
      <c r="G205" s="43" t="n">
        <v>5.106</v>
      </c>
      <c r="H205" s="43" t="n">
        <v>39.0609</v>
      </c>
      <c r="I205" s="43" t="n">
        <f aca="false">H205-F205</f>
        <v>32.9337</v>
      </c>
      <c r="J205" s="25" t="s">
        <v>169</v>
      </c>
    </row>
    <row r="206" customFormat="false" ht="15" hidden="false" customHeight="true" outlineLevel="0" collapsed="false">
      <c r="A206" s="25" t="s">
        <v>220</v>
      </c>
      <c r="B206" s="25" t="s">
        <v>320</v>
      </c>
      <c r="C206" s="42" t="n">
        <v>49.95</v>
      </c>
      <c r="D206" s="43" t="n">
        <v>45.954</v>
      </c>
      <c r="E206" s="43" t="n">
        <v>7.659</v>
      </c>
      <c r="F206" s="43" t="n">
        <v>6.1272</v>
      </c>
      <c r="G206" s="43" t="n">
        <v>5.106</v>
      </c>
      <c r="H206" s="43" t="n">
        <v>39.0609</v>
      </c>
      <c r="I206" s="43" t="n">
        <f aca="false">H206-F206</f>
        <v>32.9337</v>
      </c>
      <c r="J206" s="25" t="s">
        <v>169</v>
      </c>
    </row>
    <row r="207" customFormat="false" ht="15" hidden="false" customHeight="true" outlineLevel="0" collapsed="false">
      <c r="A207" s="26" t="s">
        <v>220</v>
      </c>
      <c r="B207" s="26" t="s">
        <v>321</v>
      </c>
      <c r="C207" s="41" t="n">
        <v>49.95</v>
      </c>
      <c r="D207" s="31" t="n">
        <v>45.954</v>
      </c>
      <c r="E207" s="31" t="n">
        <v>7.659</v>
      </c>
      <c r="F207" s="31" t="n">
        <v>6.1272</v>
      </c>
      <c r="G207" s="31" t="n">
        <v>5.106</v>
      </c>
      <c r="H207" s="31" t="n">
        <v>39.0609</v>
      </c>
      <c r="I207" s="31" t="n">
        <f aca="false">H207-F207</f>
        <v>32.9337</v>
      </c>
      <c r="J207" s="26" t="s">
        <v>169</v>
      </c>
    </row>
    <row r="208" customFormat="false" ht="15" hidden="false" customHeight="true" outlineLevel="0" collapsed="false">
      <c r="A208" s="26" t="s">
        <v>220</v>
      </c>
      <c r="B208" s="26" t="s">
        <v>322</v>
      </c>
      <c r="C208" s="41" t="n">
        <v>49.95</v>
      </c>
      <c r="D208" s="31" t="n">
        <v>45.954</v>
      </c>
      <c r="E208" s="31" t="n">
        <v>7.659</v>
      </c>
      <c r="F208" s="31" t="n">
        <v>6.1272</v>
      </c>
      <c r="G208" s="31" t="n">
        <v>5.106</v>
      </c>
      <c r="H208" s="31" t="n">
        <v>39.0609</v>
      </c>
      <c r="I208" s="31" t="n">
        <f aca="false">H208-F208</f>
        <v>32.9337</v>
      </c>
      <c r="J208" s="26" t="s">
        <v>169</v>
      </c>
    </row>
    <row r="209" customFormat="false" ht="15" hidden="false" customHeight="true" outlineLevel="0" collapsed="false">
      <c r="A209" s="25" t="s">
        <v>220</v>
      </c>
      <c r="B209" s="25" t="s">
        <v>323</v>
      </c>
      <c r="C209" s="42" t="n">
        <v>49.95</v>
      </c>
      <c r="D209" s="43" t="n">
        <v>45.954</v>
      </c>
      <c r="E209" s="43" t="n">
        <v>7.659</v>
      </c>
      <c r="F209" s="43" t="n">
        <v>6.1272</v>
      </c>
      <c r="G209" s="43" t="n">
        <v>5.106</v>
      </c>
      <c r="H209" s="43" t="n">
        <v>39.0609</v>
      </c>
      <c r="I209" s="43" t="n">
        <f aca="false">H209-F209</f>
        <v>32.9337</v>
      </c>
      <c r="J209" s="25" t="s">
        <v>169</v>
      </c>
    </row>
    <row r="210" customFormat="false" ht="15" hidden="false" customHeight="true" outlineLevel="0" collapsed="false">
      <c r="A210" s="25" t="s">
        <v>220</v>
      </c>
      <c r="B210" s="25" t="s">
        <v>324</v>
      </c>
      <c r="C210" s="42" t="n">
        <v>49.95</v>
      </c>
      <c r="D210" s="43" t="n">
        <v>45.954</v>
      </c>
      <c r="E210" s="43" t="n">
        <v>7.659</v>
      </c>
      <c r="F210" s="43" t="n">
        <v>6.1272</v>
      </c>
      <c r="G210" s="43" t="n">
        <v>5.106</v>
      </c>
      <c r="H210" s="43" t="n">
        <v>39.0609</v>
      </c>
      <c r="I210" s="43" t="n">
        <f aca="false">H210-F210</f>
        <v>32.9337</v>
      </c>
      <c r="J210" s="25" t="s">
        <v>169</v>
      </c>
    </row>
    <row r="211" customFormat="false" ht="15" hidden="false" customHeight="true" outlineLevel="0" collapsed="false">
      <c r="A211" s="26" t="s">
        <v>220</v>
      </c>
      <c r="B211" s="26" t="s">
        <v>325</v>
      </c>
      <c r="C211" s="41" t="n">
        <v>49.95</v>
      </c>
      <c r="D211" s="31" t="n">
        <v>45.954</v>
      </c>
      <c r="E211" s="31" t="n">
        <v>7.659</v>
      </c>
      <c r="F211" s="31" t="n">
        <v>6.1272</v>
      </c>
      <c r="G211" s="31" t="n">
        <v>5.106</v>
      </c>
      <c r="H211" s="31" t="n">
        <v>39.0609</v>
      </c>
      <c r="I211" s="31" t="n">
        <f aca="false">H211-F211</f>
        <v>32.9337</v>
      </c>
      <c r="J211" s="26" t="s">
        <v>169</v>
      </c>
    </row>
    <row r="212" customFormat="false" ht="15" hidden="false" customHeight="true" outlineLevel="0" collapsed="false">
      <c r="A212" s="25" t="s">
        <v>220</v>
      </c>
      <c r="B212" s="25" t="s">
        <v>326</v>
      </c>
      <c r="C212" s="42" t="n">
        <v>49.95</v>
      </c>
      <c r="D212" s="43" t="n">
        <v>45.954</v>
      </c>
      <c r="E212" s="43" t="n">
        <v>7.659</v>
      </c>
      <c r="F212" s="43" t="n">
        <v>6.1272</v>
      </c>
      <c r="G212" s="43" t="n">
        <v>5.106</v>
      </c>
      <c r="H212" s="43" t="n">
        <v>39.0609</v>
      </c>
      <c r="I212" s="43" t="n">
        <f aca="false">H212-F212</f>
        <v>32.9337</v>
      </c>
      <c r="J212" s="25" t="s">
        <v>169</v>
      </c>
    </row>
    <row r="213" customFormat="false" ht="15" hidden="false" customHeight="true" outlineLevel="0" collapsed="false">
      <c r="A213" s="26" t="s">
        <v>220</v>
      </c>
      <c r="B213" s="26" t="s">
        <v>327</v>
      </c>
      <c r="C213" s="41" t="n">
        <v>49.95</v>
      </c>
      <c r="D213" s="31" t="n">
        <v>45.954</v>
      </c>
      <c r="E213" s="31" t="n">
        <v>7.659</v>
      </c>
      <c r="F213" s="31" t="n">
        <v>6.1272</v>
      </c>
      <c r="G213" s="31" t="n">
        <v>5.106</v>
      </c>
      <c r="H213" s="31" t="n">
        <v>39.0609</v>
      </c>
      <c r="I213" s="31" t="n">
        <f aca="false">H213-F213</f>
        <v>32.9337</v>
      </c>
      <c r="J213" s="26" t="s">
        <v>169</v>
      </c>
    </row>
    <row r="214" customFormat="false" ht="15" hidden="false" customHeight="true" outlineLevel="0" collapsed="false">
      <c r="A214" s="26" t="s">
        <v>220</v>
      </c>
      <c r="B214" s="26" t="s">
        <v>328</v>
      </c>
      <c r="C214" s="41" t="n">
        <v>49.95</v>
      </c>
      <c r="D214" s="31" t="n">
        <v>45.954</v>
      </c>
      <c r="E214" s="31" t="n">
        <v>7.659</v>
      </c>
      <c r="F214" s="31" t="n">
        <v>6.1272</v>
      </c>
      <c r="G214" s="31" t="n">
        <v>5.106</v>
      </c>
      <c r="H214" s="31" t="n">
        <v>39.0609</v>
      </c>
      <c r="I214" s="31" t="n">
        <f aca="false">H214-F214</f>
        <v>32.9337</v>
      </c>
      <c r="J214" s="26" t="s">
        <v>169</v>
      </c>
    </row>
    <row r="215" customFormat="false" ht="15" hidden="false" customHeight="true" outlineLevel="0" collapsed="false">
      <c r="A215" s="25" t="s">
        <v>220</v>
      </c>
      <c r="B215" s="25" t="s">
        <v>329</v>
      </c>
      <c r="C215" s="42" t="n">
        <v>49.95</v>
      </c>
      <c r="D215" s="43" t="n">
        <v>45.954</v>
      </c>
      <c r="E215" s="43" t="n">
        <v>7.659</v>
      </c>
      <c r="F215" s="43" t="n">
        <v>6.1272</v>
      </c>
      <c r="G215" s="43" t="n">
        <v>5.106</v>
      </c>
      <c r="H215" s="43" t="n">
        <v>39.0609</v>
      </c>
      <c r="I215" s="43" t="n">
        <f aca="false">H215-F215</f>
        <v>32.9337</v>
      </c>
      <c r="J215" s="25" t="s">
        <v>169</v>
      </c>
    </row>
    <row r="216" customFormat="false" ht="15" hidden="false" customHeight="true" outlineLevel="0" collapsed="false">
      <c r="A216" s="25" t="s">
        <v>220</v>
      </c>
      <c r="B216" s="25" t="s">
        <v>330</v>
      </c>
      <c r="C216" s="42" t="n">
        <v>49.95</v>
      </c>
      <c r="D216" s="43" t="n">
        <v>45.954</v>
      </c>
      <c r="E216" s="43" t="n">
        <v>7.659</v>
      </c>
      <c r="F216" s="43" t="n">
        <v>6.1272</v>
      </c>
      <c r="G216" s="43" t="n">
        <v>5.106</v>
      </c>
      <c r="H216" s="43" t="n">
        <v>39.0609</v>
      </c>
      <c r="I216" s="43" t="n">
        <f aca="false">H216-F216</f>
        <v>32.9337</v>
      </c>
      <c r="J216" s="25" t="s">
        <v>169</v>
      </c>
    </row>
    <row r="217" customFormat="false" ht="15" hidden="false" customHeight="true" outlineLevel="0" collapsed="false">
      <c r="A217" s="26" t="s">
        <v>154</v>
      </c>
      <c r="B217" s="26" t="s">
        <v>331</v>
      </c>
      <c r="C217" s="41" t="n">
        <v>47</v>
      </c>
      <c r="D217" s="31" t="n">
        <v>43.24</v>
      </c>
      <c r="E217" s="31" t="n">
        <v>7.20666666666667</v>
      </c>
      <c r="F217" s="31" t="n">
        <v>5.76533333333333</v>
      </c>
      <c r="G217" s="31" t="n">
        <v>4.80444444444445</v>
      </c>
      <c r="H217" s="31" t="n">
        <v>36.754</v>
      </c>
      <c r="I217" s="31" t="n">
        <f aca="false">H217-F217</f>
        <v>30.9886666666667</v>
      </c>
      <c r="J217" s="26" t="s">
        <v>119</v>
      </c>
    </row>
    <row r="218" customFormat="false" ht="15" hidden="false" customHeight="true" outlineLevel="0" collapsed="false">
      <c r="A218" s="26" t="s">
        <v>154</v>
      </c>
      <c r="B218" s="26" t="s">
        <v>332</v>
      </c>
      <c r="C218" s="41" t="n">
        <v>45</v>
      </c>
      <c r="D218" s="31" t="n">
        <v>41.4</v>
      </c>
      <c r="E218" s="31" t="n">
        <v>6.9</v>
      </c>
      <c r="F218" s="31" t="n">
        <v>5.52</v>
      </c>
      <c r="G218" s="31" t="n">
        <v>4.6</v>
      </c>
      <c r="H218" s="31" t="n">
        <v>35.19</v>
      </c>
      <c r="I218" s="31" t="n">
        <f aca="false">H218-F218</f>
        <v>29.67</v>
      </c>
      <c r="J218" s="26" t="s">
        <v>119</v>
      </c>
    </row>
    <row r="219" customFormat="false" ht="15" hidden="false" customHeight="true" outlineLevel="0" collapsed="false">
      <c r="A219" s="25" t="s">
        <v>220</v>
      </c>
      <c r="B219" s="25" t="s">
        <v>333</v>
      </c>
      <c r="C219" s="42" t="n">
        <v>43.95</v>
      </c>
      <c r="D219" s="43" t="n">
        <v>40.434</v>
      </c>
      <c r="E219" s="43" t="n">
        <v>6.739</v>
      </c>
      <c r="F219" s="43" t="n">
        <v>5.3912</v>
      </c>
      <c r="G219" s="43" t="n">
        <v>4.49266666666667</v>
      </c>
      <c r="H219" s="43" t="n">
        <v>34.3689</v>
      </c>
      <c r="I219" s="43" t="n">
        <f aca="false">H219-F219</f>
        <v>28.9777</v>
      </c>
      <c r="J219" s="25" t="s">
        <v>169</v>
      </c>
    </row>
    <row r="220" customFormat="false" ht="15" hidden="false" customHeight="true" outlineLevel="0" collapsed="false">
      <c r="A220" s="26" t="s">
        <v>220</v>
      </c>
      <c r="B220" s="26" t="s">
        <v>334</v>
      </c>
      <c r="C220" s="41" t="n">
        <v>42.95</v>
      </c>
      <c r="D220" s="31" t="n">
        <v>39.514</v>
      </c>
      <c r="E220" s="31" t="n">
        <v>6.58566666666667</v>
      </c>
      <c r="F220" s="31" t="n">
        <v>5.26853333333333</v>
      </c>
      <c r="G220" s="31" t="n">
        <v>4.39044444444444</v>
      </c>
      <c r="H220" s="31" t="n">
        <v>33.5869</v>
      </c>
      <c r="I220" s="31" t="n">
        <f aca="false">H220-F220</f>
        <v>28.3183666666667</v>
      </c>
      <c r="J220" s="26" t="s">
        <v>169</v>
      </c>
    </row>
    <row r="221" customFormat="false" ht="15" hidden="false" customHeight="true" outlineLevel="0" collapsed="false">
      <c r="A221" s="25" t="s">
        <v>154</v>
      </c>
      <c r="B221" s="25" t="s">
        <v>335</v>
      </c>
      <c r="C221" s="42" t="n">
        <v>41.7</v>
      </c>
      <c r="D221" s="43" t="n">
        <v>38.364</v>
      </c>
      <c r="E221" s="43" t="n">
        <v>6.394</v>
      </c>
      <c r="F221" s="43" t="n">
        <v>5.1152</v>
      </c>
      <c r="G221" s="43" t="n">
        <v>4.26266666666667</v>
      </c>
      <c r="H221" s="43" t="n">
        <v>32.6094</v>
      </c>
      <c r="I221" s="43" t="n">
        <f aca="false">H221-F221</f>
        <v>27.4942</v>
      </c>
      <c r="J221" s="25" t="s">
        <v>119</v>
      </c>
    </row>
    <row r="222" customFormat="false" ht="15" hidden="false" customHeight="true" outlineLevel="0" collapsed="false">
      <c r="A222" s="25" t="s">
        <v>154</v>
      </c>
      <c r="B222" s="25" t="s">
        <v>336</v>
      </c>
      <c r="C222" s="42" t="n">
        <v>41.4</v>
      </c>
      <c r="D222" s="43" t="n">
        <v>38.088</v>
      </c>
      <c r="E222" s="43" t="n">
        <v>6.348</v>
      </c>
      <c r="F222" s="43" t="n">
        <v>5.0784</v>
      </c>
      <c r="G222" s="43" t="n">
        <v>4.232</v>
      </c>
      <c r="H222" s="43" t="n">
        <v>32.3748</v>
      </c>
      <c r="I222" s="43" t="n">
        <f aca="false">H222-F222</f>
        <v>27.2964</v>
      </c>
      <c r="J222" s="25" t="s">
        <v>119</v>
      </c>
    </row>
    <row r="223" customFormat="false" ht="15" hidden="false" customHeight="true" outlineLevel="0" collapsed="false">
      <c r="A223" s="26" t="s">
        <v>154</v>
      </c>
      <c r="B223" s="26" t="s">
        <v>337</v>
      </c>
      <c r="C223" s="41" t="n">
        <v>41.3</v>
      </c>
      <c r="D223" s="31" t="n">
        <v>37.996</v>
      </c>
      <c r="E223" s="31" t="n">
        <v>6.33266666666667</v>
      </c>
      <c r="F223" s="31" t="n">
        <v>5.06613333333333</v>
      </c>
      <c r="G223" s="31" t="n">
        <v>4.22177777777778</v>
      </c>
      <c r="H223" s="31" t="n">
        <v>32.2966</v>
      </c>
      <c r="I223" s="31" t="n">
        <f aca="false">H223-F223</f>
        <v>27.2304666666667</v>
      </c>
      <c r="J223" s="26" t="s">
        <v>119</v>
      </c>
    </row>
    <row r="224" customFormat="false" ht="15" hidden="false" customHeight="true" outlineLevel="0" collapsed="false">
      <c r="A224" s="26" t="s">
        <v>154</v>
      </c>
      <c r="B224" s="26" t="s">
        <v>338</v>
      </c>
      <c r="C224" s="41" t="n">
        <v>41</v>
      </c>
      <c r="D224" s="31" t="n">
        <v>37.72</v>
      </c>
      <c r="E224" s="31" t="n">
        <v>6.28666666666667</v>
      </c>
      <c r="F224" s="31" t="n">
        <v>5.02933333333333</v>
      </c>
      <c r="G224" s="31" t="n">
        <v>4.19111111111111</v>
      </c>
      <c r="H224" s="31" t="n">
        <v>32.062</v>
      </c>
      <c r="I224" s="31" t="n">
        <f aca="false">H224-F224</f>
        <v>27.0326666666667</v>
      </c>
      <c r="J224" s="26" t="s">
        <v>119</v>
      </c>
    </row>
    <row r="225" customFormat="false" ht="15" hidden="false" customHeight="true" outlineLevel="0" collapsed="false">
      <c r="A225" s="26" t="s">
        <v>220</v>
      </c>
      <c r="B225" s="26" t="s">
        <v>339</v>
      </c>
      <c r="C225" s="41" t="n">
        <v>39.95</v>
      </c>
      <c r="D225" s="31" t="n">
        <v>36.754</v>
      </c>
      <c r="E225" s="31" t="n">
        <v>6.12566666666667</v>
      </c>
      <c r="F225" s="31" t="n">
        <v>4.90053333333333</v>
      </c>
      <c r="G225" s="31" t="n">
        <v>4.08377777777778</v>
      </c>
      <c r="H225" s="31" t="n">
        <v>31.2409</v>
      </c>
      <c r="I225" s="31" t="n">
        <f aca="false">H225-F225</f>
        <v>26.3403666666667</v>
      </c>
      <c r="J225" s="26" t="s">
        <v>169</v>
      </c>
    </row>
    <row r="226" customFormat="false" ht="15" hidden="false" customHeight="true" outlineLevel="0" collapsed="false">
      <c r="A226" s="26" t="s">
        <v>220</v>
      </c>
      <c r="B226" s="26" t="s">
        <v>340</v>
      </c>
      <c r="C226" s="41" t="n">
        <v>39.95</v>
      </c>
      <c r="D226" s="31" t="n">
        <v>36.754</v>
      </c>
      <c r="E226" s="31" t="n">
        <v>6.12566666666667</v>
      </c>
      <c r="F226" s="31" t="n">
        <v>4.90053333333333</v>
      </c>
      <c r="G226" s="31" t="n">
        <v>4.08377777777778</v>
      </c>
      <c r="H226" s="31" t="n">
        <v>31.2409</v>
      </c>
      <c r="I226" s="31" t="n">
        <f aca="false">H226-F226</f>
        <v>26.3403666666667</v>
      </c>
      <c r="J226" s="26" t="s">
        <v>169</v>
      </c>
    </row>
    <row r="227" customFormat="false" ht="15" hidden="false" customHeight="true" outlineLevel="0" collapsed="false">
      <c r="A227" s="26" t="s">
        <v>220</v>
      </c>
      <c r="B227" s="26" t="s">
        <v>341</v>
      </c>
      <c r="C227" s="41" t="n">
        <v>39.95</v>
      </c>
      <c r="D227" s="31" t="n">
        <v>36.754</v>
      </c>
      <c r="E227" s="31" t="n">
        <v>6.12566666666667</v>
      </c>
      <c r="F227" s="31" t="n">
        <v>4.90053333333333</v>
      </c>
      <c r="G227" s="31" t="n">
        <v>4.08377777777778</v>
      </c>
      <c r="H227" s="31" t="n">
        <v>31.2409</v>
      </c>
      <c r="I227" s="31" t="n">
        <f aca="false">H227-F227</f>
        <v>26.3403666666667</v>
      </c>
      <c r="J227" s="26" t="s">
        <v>169</v>
      </c>
    </row>
    <row r="228" customFormat="false" ht="15" hidden="false" customHeight="true" outlineLevel="0" collapsed="false">
      <c r="A228" s="26" t="s">
        <v>220</v>
      </c>
      <c r="B228" s="26" t="s">
        <v>342</v>
      </c>
      <c r="C228" s="41" t="n">
        <v>39.95</v>
      </c>
      <c r="D228" s="31" t="n">
        <v>36.754</v>
      </c>
      <c r="E228" s="31" t="n">
        <v>6.12566666666667</v>
      </c>
      <c r="F228" s="31" t="n">
        <v>4.90053333333333</v>
      </c>
      <c r="G228" s="31" t="n">
        <v>4.08377777777778</v>
      </c>
      <c r="H228" s="31" t="n">
        <v>31.2409</v>
      </c>
      <c r="I228" s="31" t="n">
        <f aca="false">H228-F228</f>
        <v>26.3403666666667</v>
      </c>
      <c r="J228" s="26" t="s">
        <v>169</v>
      </c>
    </row>
    <row r="229" customFormat="false" ht="15" hidden="false" customHeight="true" outlineLevel="0" collapsed="false">
      <c r="A229" s="26" t="s">
        <v>220</v>
      </c>
      <c r="B229" s="26" t="s">
        <v>343</v>
      </c>
      <c r="C229" s="41" t="n">
        <v>39.95</v>
      </c>
      <c r="D229" s="31" t="n">
        <v>36.754</v>
      </c>
      <c r="E229" s="31" t="n">
        <v>6.12566666666667</v>
      </c>
      <c r="F229" s="31" t="n">
        <v>4.90053333333333</v>
      </c>
      <c r="G229" s="31" t="n">
        <v>4.08377777777778</v>
      </c>
      <c r="H229" s="31" t="n">
        <v>31.2409</v>
      </c>
      <c r="I229" s="31" t="n">
        <f aca="false">H229-F229</f>
        <v>26.3403666666667</v>
      </c>
      <c r="J229" s="26" t="s">
        <v>169</v>
      </c>
    </row>
    <row r="230" customFormat="false" ht="15" hidden="false" customHeight="true" outlineLevel="0" collapsed="false">
      <c r="A230" s="25" t="s">
        <v>220</v>
      </c>
      <c r="B230" s="25" t="s">
        <v>344</v>
      </c>
      <c r="C230" s="42" t="n">
        <v>39.95</v>
      </c>
      <c r="D230" s="43" t="n">
        <v>36.754</v>
      </c>
      <c r="E230" s="43" t="n">
        <v>6.12566666666667</v>
      </c>
      <c r="F230" s="43" t="n">
        <v>4.90053333333333</v>
      </c>
      <c r="G230" s="43" t="n">
        <v>4.08377777777778</v>
      </c>
      <c r="H230" s="43" t="n">
        <v>31.2409</v>
      </c>
      <c r="I230" s="43" t="n">
        <f aca="false">H230-F230</f>
        <v>26.3403666666667</v>
      </c>
      <c r="J230" s="25" t="s">
        <v>169</v>
      </c>
    </row>
    <row r="231" customFormat="false" ht="15" hidden="false" customHeight="true" outlineLevel="0" collapsed="false">
      <c r="A231" s="26" t="s">
        <v>220</v>
      </c>
      <c r="B231" s="26" t="s">
        <v>345</v>
      </c>
      <c r="C231" s="41" t="n">
        <v>38.95</v>
      </c>
      <c r="D231" s="31" t="n">
        <v>35.834</v>
      </c>
      <c r="E231" s="31" t="n">
        <v>5.97233333333333</v>
      </c>
      <c r="F231" s="31" t="n">
        <v>4.77786666666667</v>
      </c>
      <c r="G231" s="31" t="n">
        <v>3.98155555555556</v>
      </c>
      <c r="H231" s="31" t="n">
        <v>30.4589</v>
      </c>
      <c r="I231" s="31" t="n">
        <f aca="false">H231-F231</f>
        <v>25.6810333333333</v>
      </c>
      <c r="J231" s="26" t="s">
        <v>169</v>
      </c>
    </row>
    <row r="232" customFormat="false" ht="15" hidden="false" customHeight="true" outlineLevel="0" collapsed="false">
      <c r="A232" s="26" t="s">
        <v>220</v>
      </c>
      <c r="B232" s="26" t="s">
        <v>346</v>
      </c>
      <c r="C232" s="41" t="n">
        <v>38.95</v>
      </c>
      <c r="D232" s="31" t="n">
        <v>35.834</v>
      </c>
      <c r="E232" s="31" t="n">
        <v>5.97233333333333</v>
      </c>
      <c r="F232" s="31" t="n">
        <v>4.77786666666667</v>
      </c>
      <c r="G232" s="31" t="n">
        <v>3.98155555555556</v>
      </c>
      <c r="H232" s="31" t="n">
        <v>30.4589</v>
      </c>
      <c r="I232" s="31" t="n">
        <f aca="false">H232-F232</f>
        <v>25.6810333333333</v>
      </c>
      <c r="J232" s="26" t="s">
        <v>169</v>
      </c>
    </row>
    <row r="233" customFormat="false" ht="15" hidden="false" customHeight="true" outlineLevel="0" collapsed="false">
      <c r="A233" s="25" t="s">
        <v>220</v>
      </c>
      <c r="B233" s="25" t="s">
        <v>347</v>
      </c>
      <c r="C233" s="42" t="n">
        <v>38.5</v>
      </c>
      <c r="D233" s="43" t="n">
        <v>35.42</v>
      </c>
      <c r="E233" s="43" t="n">
        <v>5.90333333333333</v>
      </c>
      <c r="F233" s="43" t="n">
        <v>4.72266666666667</v>
      </c>
      <c r="G233" s="43" t="n">
        <v>3.93555555555556</v>
      </c>
      <c r="H233" s="43" t="n">
        <v>30.107</v>
      </c>
      <c r="I233" s="43" t="n">
        <f aca="false">H233-F233</f>
        <v>25.3843333333333</v>
      </c>
      <c r="J233" s="25" t="s">
        <v>169</v>
      </c>
    </row>
    <row r="234" customFormat="false" ht="15" hidden="false" customHeight="true" outlineLevel="0" collapsed="false">
      <c r="A234" s="25" t="s">
        <v>220</v>
      </c>
      <c r="B234" s="25" t="s">
        <v>348</v>
      </c>
      <c r="C234" s="42" t="n">
        <v>37.95</v>
      </c>
      <c r="D234" s="43" t="n">
        <v>34.914</v>
      </c>
      <c r="E234" s="43" t="n">
        <v>5.819</v>
      </c>
      <c r="F234" s="43" t="n">
        <v>4.6552</v>
      </c>
      <c r="G234" s="43" t="n">
        <v>3.87933333333333</v>
      </c>
      <c r="H234" s="43" t="n">
        <v>29.6769</v>
      </c>
      <c r="I234" s="43" t="n">
        <f aca="false">H234-F234</f>
        <v>25.0217</v>
      </c>
      <c r="J234" s="25" t="s">
        <v>169</v>
      </c>
    </row>
    <row r="235" customFormat="false" ht="15" hidden="false" customHeight="true" outlineLevel="0" collapsed="false">
      <c r="A235" s="26" t="s">
        <v>220</v>
      </c>
      <c r="B235" s="26" t="s">
        <v>349</v>
      </c>
      <c r="C235" s="41" t="n">
        <v>36.95</v>
      </c>
      <c r="D235" s="31" t="n">
        <v>33.994</v>
      </c>
      <c r="E235" s="31" t="n">
        <v>5.66566666666667</v>
      </c>
      <c r="F235" s="31" t="n">
        <v>4.53253333333333</v>
      </c>
      <c r="G235" s="31" t="n">
        <v>3.77711111111111</v>
      </c>
      <c r="H235" s="31" t="n">
        <v>28.8949</v>
      </c>
      <c r="I235" s="31" t="n">
        <f aca="false">H235-F235</f>
        <v>24.3623666666667</v>
      </c>
      <c r="J235" s="26" t="s">
        <v>169</v>
      </c>
    </row>
    <row r="236" customFormat="false" ht="15" hidden="false" customHeight="true" outlineLevel="0" collapsed="false">
      <c r="A236" s="25" t="s">
        <v>220</v>
      </c>
      <c r="B236" s="25" t="s">
        <v>350</v>
      </c>
      <c r="C236" s="42" t="n">
        <v>36.95</v>
      </c>
      <c r="D236" s="43" t="n">
        <v>33.994</v>
      </c>
      <c r="E236" s="43" t="n">
        <v>5.66566666666667</v>
      </c>
      <c r="F236" s="43" t="n">
        <v>4.53253333333333</v>
      </c>
      <c r="G236" s="43" t="n">
        <v>3.77711111111111</v>
      </c>
      <c r="H236" s="43" t="n">
        <v>28.8949</v>
      </c>
      <c r="I236" s="43" t="n">
        <f aca="false">H236-F236</f>
        <v>24.3623666666667</v>
      </c>
      <c r="J236" s="25" t="s">
        <v>169</v>
      </c>
    </row>
    <row r="237" customFormat="false" ht="15" hidden="false" customHeight="true" outlineLevel="0" collapsed="false">
      <c r="A237" s="25" t="s">
        <v>220</v>
      </c>
      <c r="B237" s="25" t="s">
        <v>351</v>
      </c>
      <c r="C237" s="42" t="n">
        <v>36.95</v>
      </c>
      <c r="D237" s="43" t="n">
        <v>33.994</v>
      </c>
      <c r="E237" s="43" t="n">
        <v>5.66566666666667</v>
      </c>
      <c r="F237" s="43" t="n">
        <v>4.53253333333333</v>
      </c>
      <c r="G237" s="43" t="n">
        <v>3.77711111111111</v>
      </c>
      <c r="H237" s="43" t="n">
        <v>28.8949</v>
      </c>
      <c r="I237" s="43" t="n">
        <f aca="false">H237-F237</f>
        <v>24.3623666666667</v>
      </c>
      <c r="J237" s="25" t="s">
        <v>169</v>
      </c>
    </row>
    <row r="238" customFormat="false" ht="15" hidden="false" customHeight="true" outlineLevel="0" collapsed="false">
      <c r="A238" s="26" t="s">
        <v>220</v>
      </c>
      <c r="B238" s="26" t="s">
        <v>352</v>
      </c>
      <c r="C238" s="41" t="n">
        <v>36.95</v>
      </c>
      <c r="D238" s="31" t="n">
        <v>33.994</v>
      </c>
      <c r="E238" s="31" t="n">
        <v>5.66566666666667</v>
      </c>
      <c r="F238" s="31" t="n">
        <v>4.53253333333333</v>
      </c>
      <c r="G238" s="31" t="n">
        <v>3.77711111111111</v>
      </c>
      <c r="H238" s="31" t="n">
        <v>28.8949</v>
      </c>
      <c r="I238" s="31" t="n">
        <f aca="false">H238-F238</f>
        <v>24.3623666666667</v>
      </c>
      <c r="J238" s="26" t="s">
        <v>169</v>
      </c>
    </row>
    <row r="239" customFormat="false" ht="15" hidden="false" customHeight="true" outlineLevel="0" collapsed="false">
      <c r="A239" s="25" t="s">
        <v>220</v>
      </c>
      <c r="B239" s="25" t="s">
        <v>353</v>
      </c>
      <c r="C239" s="42" t="n">
        <v>35.95</v>
      </c>
      <c r="D239" s="43" t="n">
        <v>33.074</v>
      </c>
      <c r="E239" s="43" t="n">
        <v>5.51233333333333</v>
      </c>
      <c r="F239" s="43" t="n">
        <v>4.40986666666667</v>
      </c>
      <c r="G239" s="43" t="n">
        <v>3.67488888888889</v>
      </c>
      <c r="H239" s="43" t="n">
        <v>28.1129</v>
      </c>
      <c r="I239" s="43" t="n">
        <f aca="false">H239-F239</f>
        <v>23.7030333333333</v>
      </c>
      <c r="J239" s="25" t="s">
        <v>169</v>
      </c>
    </row>
    <row r="240" customFormat="false" ht="15" hidden="false" customHeight="true" outlineLevel="0" collapsed="false">
      <c r="A240" s="25" t="s">
        <v>220</v>
      </c>
      <c r="B240" s="25" t="s">
        <v>354</v>
      </c>
      <c r="C240" s="42" t="n">
        <v>34.95</v>
      </c>
      <c r="D240" s="43" t="n">
        <v>32.154</v>
      </c>
      <c r="E240" s="43" t="n">
        <v>5.359</v>
      </c>
      <c r="F240" s="43" t="n">
        <v>4.2872</v>
      </c>
      <c r="G240" s="43" t="n">
        <v>3.57266666666667</v>
      </c>
      <c r="H240" s="43" t="n">
        <v>27.3309</v>
      </c>
      <c r="I240" s="43" t="n">
        <f aca="false">H240-F240</f>
        <v>23.0437</v>
      </c>
      <c r="J240" s="25" t="s">
        <v>169</v>
      </c>
    </row>
    <row r="241" customFormat="false" ht="15" hidden="false" customHeight="true" outlineLevel="0" collapsed="false">
      <c r="A241" s="26" t="s">
        <v>220</v>
      </c>
      <c r="B241" s="26" t="s">
        <v>355</v>
      </c>
      <c r="C241" s="41" t="n">
        <v>34.95</v>
      </c>
      <c r="D241" s="31" t="n">
        <v>32.154</v>
      </c>
      <c r="E241" s="31" t="n">
        <v>5.359</v>
      </c>
      <c r="F241" s="31" t="n">
        <v>4.2872</v>
      </c>
      <c r="G241" s="31" t="n">
        <v>3.57266666666667</v>
      </c>
      <c r="H241" s="31" t="n">
        <v>27.3309</v>
      </c>
      <c r="I241" s="31" t="n">
        <f aca="false">H241-F241</f>
        <v>23.0437</v>
      </c>
      <c r="J241" s="26" t="s">
        <v>169</v>
      </c>
    </row>
    <row r="242" customFormat="false" ht="15" hidden="false" customHeight="true" outlineLevel="0" collapsed="false">
      <c r="A242" s="25" t="s">
        <v>220</v>
      </c>
      <c r="B242" s="25" t="s">
        <v>356</v>
      </c>
      <c r="C242" s="42" t="n">
        <v>34.95</v>
      </c>
      <c r="D242" s="43" t="n">
        <v>32.154</v>
      </c>
      <c r="E242" s="43" t="n">
        <v>5.359</v>
      </c>
      <c r="F242" s="43" t="n">
        <v>4.2872</v>
      </c>
      <c r="G242" s="43" t="n">
        <v>3.57266666666667</v>
      </c>
      <c r="H242" s="43" t="n">
        <v>27.3309</v>
      </c>
      <c r="I242" s="43" t="n">
        <f aca="false">H242-F242</f>
        <v>23.0437</v>
      </c>
      <c r="J242" s="25" t="s">
        <v>169</v>
      </c>
    </row>
    <row r="243" customFormat="false" ht="15" hidden="false" customHeight="true" outlineLevel="0" collapsed="false">
      <c r="A243" s="25" t="s">
        <v>220</v>
      </c>
      <c r="B243" s="25" t="s">
        <v>357</v>
      </c>
      <c r="C243" s="42" t="n">
        <v>34.95</v>
      </c>
      <c r="D243" s="43" t="n">
        <v>32.154</v>
      </c>
      <c r="E243" s="43" t="n">
        <v>5.359</v>
      </c>
      <c r="F243" s="43" t="n">
        <v>4.2872</v>
      </c>
      <c r="G243" s="43" t="n">
        <v>3.57266666666667</v>
      </c>
      <c r="H243" s="43" t="n">
        <v>27.3309</v>
      </c>
      <c r="I243" s="43" t="n">
        <f aca="false">H243-F243</f>
        <v>23.0437</v>
      </c>
      <c r="J243" s="25" t="s">
        <v>169</v>
      </c>
    </row>
    <row r="244" customFormat="false" ht="15" hidden="false" customHeight="true" outlineLevel="0" collapsed="false">
      <c r="A244" s="25" t="s">
        <v>220</v>
      </c>
      <c r="B244" s="25" t="s">
        <v>358</v>
      </c>
      <c r="C244" s="42" t="n">
        <v>34.95</v>
      </c>
      <c r="D244" s="43" t="n">
        <v>32.154</v>
      </c>
      <c r="E244" s="43" t="n">
        <v>5.359</v>
      </c>
      <c r="F244" s="43" t="n">
        <v>4.2872</v>
      </c>
      <c r="G244" s="43" t="n">
        <v>3.57266666666667</v>
      </c>
      <c r="H244" s="43" t="n">
        <v>27.3309</v>
      </c>
      <c r="I244" s="43" t="n">
        <f aca="false">H244-F244</f>
        <v>23.0437</v>
      </c>
      <c r="J244" s="25" t="s">
        <v>169</v>
      </c>
    </row>
    <row r="245" customFormat="false" ht="15" hidden="false" customHeight="true" outlineLevel="0" collapsed="false">
      <c r="A245" s="25" t="s">
        <v>220</v>
      </c>
      <c r="B245" s="25" t="s">
        <v>359</v>
      </c>
      <c r="C245" s="42" t="n">
        <v>34.95</v>
      </c>
      <c r="D245" s="43" t="n">
        <v>32.154</v>
      </c>
      <c r="E245" s="43" t="n">
        <v>5.359</v>
      </c>
      <c r="F245" s="43" t="n">
        <v>4.2872</v>
      </c>
      <c r="G245" s="43" t="n">
        <v>3.57266666666667</v>
      </c>
      <c r="H245" s="43" t="n">
        <v>27.3309</v>
      </c>
      <c r="I245" s="43" t="n">
        <f aca="false">H245-F245</f>
        <v>23.0437</v>
      </c>
      <c r="J245" s="25" t="s">
        <v>169</v>
      </c>
    </row>
    <row r="246" customFormat="false" ht="15" hidden="false" customHeight="true" outlineLevel="0" collapsed="false">
      <c r="A246" s="26" t="s">
        <v>220</v>
      </c>
      <c r="B246" s="26" t="s">
        <v>360</v>
      </c>
      <c r="C246" s="41" t="n">
        <v>34.95</v>
      </c>
      <c r="D246" s="31" t="n">
        <v>32.154</v>
      </c>
      <c r="E246" s="31" t="n">
        <v>5.359</v>
      </c>
      <c r="F246" s="31" t="n">
        <v>4.2872</v>
      </c>
      <c r="G246" s="31" t="n">
        <v>3.57266666666667</v>
      </c>
      <c r="H246" s="31" t="n">
        <v>27.3309</v>
      </c>
      <c r="I246" s="31" t="n">
        <f aca="false">H246-F246</f>
        <v>23.0437</v>
      </c>
      <c r="J246" s="26" t="s">
        <v>169</v>
      </c>
    </row>
    <row r="247" customFormat="false" ht="15" hidden="false" customHeight="true" outlineLevel="0" collapsed="false">
      <c r="A247" s="25" t="s">
        <v>220</v>
      </c>
      <c r="B247" s="25" t="s">
        <v>361</v>
      </c>
      <c r="C247" s="42" t="n">
        <v>34.95</v>
      </c>
      <c r="D247" s="43" t="n">
        <v>32.154</v>
      </c>
      <c r="E247" s="43" t="n">
        <v>5.359</v>
      </c>
      <c r="F247" s="43" t="n">
        <v>4.2872</v>
      </c>
      <c r="G247" s="43" t="n">
        <v>3.57266666666667</v>
      </c>
      <c r="H247" s="43" t="n">
        <v>27.3309</v>
      </c>
      <c r="I247" s="43" t="n">
        <f aca="false">H247-F247</f>
        <v>23.0437</v>
      </c>
      <c r="J247" s="25" t="s">
        <v>169</v>
      </c>
    </row>
    <row r="248" customFormat="false" ht="15" hidden="false" customHeight="true" outlineLevel="0" collapsed="false">
      <c r="A248" s="26" t="s">
        <v>220</v>
      </c>
      <c r="B248" s="26" t="s">
        <v>362</v>
      </c>
      <c r="C248" s="41" t="n">
        <v>32.95</v>
      </c>
      <c r="D248" s="31" t="n">
        <v>30.314</v>
      </c>
      <c r="E248" s="31" t="n">
        <v>5.05233333333333</v>
      </c>
      <c r="F248" s="31" t="n">
        <v>4.04186666666667</v>
      </c>
      <c r="G248" s="31" t="n">
        <v>3.36822222222222</v>
      </c>
      <c r="H248" s="31" t="n">
        <v>25.7669</v>
      </c>
      <c r="I248" s="31" t="n">
        <f aca="false">H248-F248</f>
        <v>21.7250333333333</v>
      </c>
      <c r="J248" s="26" t="s">
        <v>169</v>
      </c>
    </row>
    <row r="249" customFormat="false" ht="15" hidden="false" customHeight="true" outlineLevel="0" collapsed="false">
      <c r="A249" s="26" t="s">
        <v>220</v>
      </c>
      <c r="B249" s="26" t="s">
        <v>363</v>
      </c>
      <c r="C249" s="41" t="n">
        <v>29.95</v>
      </c>
      <c r="D249" s="31" t="n">
        <v>27.554</v>
      </c>
      <c r="E249" s="31" t="n">
        <v>4.59233333333333</v>
      </c>
      <c r="F249" s="31" t="n">
        <v>3.67386666666667</v>
      </c>
      <c r="G249" s="31" t="n">
        <v>3.06155555555556</v>
      </c>
      <c r="H249" s="31" t="n">
        <v>23.4209</v>
      </c>
      <c r="I249" s="31" t="n">
        <f aca="false">H249-F249</f>
        <v>19.7470333333333</v>
      </c>
      <c r="J249" s="26" t="s">
        <v>169</v>
      </c>
    </row>
    <row r="250" customFormat="false" ht="15" hidden="false" customHeight="true" outlineLevel="0" collapsed="false">
      <c r="A250" s="25" t="s">
        <v>220</v>
      </c>
      <c r="B250" s="25" t="s">
        <v>364</v>
      </c>
      <c r="C250" s="42" t="n">
        <v>29.95</v>
      </c>
      <c r="D250" s="43" t="n">
        <v>27.554</v>
      </c>
      <c r="E250" s="43" t="n">
        <v>4.59233333333333</v>
      </c>
      <c r="F250" s="43" t="n">
        <v>3.67386666666667</v>
      </c>
      <c r="G250" s="43" t="n">
        <v>3.06155555555556</v>
      </c>
      <c r="H250" s="43" t="n">
        <v>23.4209</v>
      </c>
      <c r="I250" s="43" t="n">
        <f aca="false">H250-F250</f>
        <v>19.7470333333333</v>
      </c>
      <c r="J250" s="25" t="s">
        <v>169</v>
      </c>
    </row>
    <row r="251" customFormat="false" ht="15" hidden="false" customHeight="true" outlineLevel="0" collapsed="false">
      <c r="A251" s="25" t="s">
        <v>220</v>
      </c>
      <c r="B251" s="25" t="s">
        <v>365</v>
      </c>
      <c r="C251" s="42" t="n">
        <v>29.95</v>
      </c>
      <c r="D251" s="43" t="n">
        <v>27.554</v>
      </c>
      <c r="E251" s="43" t="n">
        <v>4.59233333333333</v>
      </c>
      <c r="F251" s="43" t="n">
        <v>3.67386666666667</v>
      </c>
      <c r="G251" s="43" t="n">
        <v>3.06155555555556</v>
      </c>
      <c r="H251" s="43" t="n">
        <v>23.4209</v>
      </c>
      <c r="I251" s="43" t="n">
        <f aca="false">H251-F251</f>
        <v>19.7470333333333</v>
      </c>
      <c r="J251" s="25" t="s">
        <v>169</v>
      </c>
    </row>
    <row r="252" customFormat="false" ht="15" hidden="false" customHeight="true" outlineLevel="0" collapsed="false">
      <c r="A252" s="26" t="s">
        <v>220</v>
      </c>
      <c r="B252" s="26" t="s">
        <v>366</v>
      </c>
      <c r="C252" s="41" t="n">
        <v>29.95</v>
      </c>
      <c r="D252" s="31" t="n">
        <v>27.554</v>
      </c>
      <c r="E252" s="31" t="n">
        <v>4.59233333333333</v>
      </c>
      <c r="F252" s="31" t="n">
        <v>3.67386666666667</v>
      </c>
      <c r="G252" s="31" t="n">
        <v>3.06155555555556</v>
      </c>
      <c r="H252" s="31" t="n">
        <v>23.4209</v>
      </c>
      <c r="I252" s="31" t="n">
        <f aca="false">H252-F252</f>
        <v>19.7470333333333</v>
      </c>
      <c r="J252" s="26" t="s">
        <v>169</v>
      </c>
    </row>
    <row r="253" customFormat="false" ht="15" hidden="false" customHeight="true" outlineLevel="0" collapsed="false">
      <c r="A253" s="26" t="s">
        <v>220</v>
      </c>
      <c r="B253" s="26" t="s">
        <v>367</v>
      </c>
      <c r="C253" s="41" t="n">
        <v>29.95</v>
      </c>
      <c r="D253" s="31" t="n">
        <v>27.554</v>
      </c>
      <c r="E253" s="31" t="n">
        <v>4.59233333333333</v>
      </c>
      <c r="F253" s="31" t="n">
        <v>3.67386666666667</v>
      </c>
      <c r="G253" s="31" t="n">
        <v>3.06155555555556</v>
      </c>
      <c r="H253" s="31" t="n">
        <v>23.4209</v>
      </c>
      <c r="I253" s="31" t="n">
        <f aca="false">H253-F253</f>
        <v>19.7470333333333</v>
      </c>
      <c r="J253" s="26" t="s">
        <v>169</v>
      </c>
    </row>
    <row r="254" customFormat="false" ht="15" hidden="false" customHeight="true" outlineLevel="0" collapsed="false">
      <c r="A254" s="25" t="s">
        <v>220</v>
      </c>
      <c r="B254" s="25" t="s">
        <v>368</v>
      </c>
      <c r="C254" s="42" t="n">
        <v>29.95</v>
      </c>
      <c r="D254" s="43" t="n">
        <v>27.554</v>
      </c>
      <c r="E254" s="43" t="n">
        <v>4.59233333333333</v>
      </c>
      <c r="F254" s="43" t="n">
        <v>3.67386666666667</v>
      </c>
      <c r="G254" s="43" t="n">
        <v>3.06155555555556</v>
      </c>
      <c r="H254" s="43" t="n">
        <v>23.4209</v>
      </c>
      <c r="I254" s="43" t="n">
        <f aca="false">H254-F254</f>
        <v>19.7470333333333</v>
      </c>
      <c r="J254" s="25" t="s">
        <v>169</v>
      </c>
    </row>
    <row r="255" customFormat="false" ht="15" hidden="false" customHeight="true" outlineLevel="0" collapsed="false">
      <c r="A255" s="25" t="s">
        <v>220</v>
      </c>
      <c r="B255" s="25" t="s">
        <v>369</v>
      </c>
      <c r="C255" s="42" t="n">
        <v>29.95</v>
      </c>
      <c r="D255" s="43" t="n">
        <v>27.554</v>
      </c>
      <c r="E255" s="43" t="n">
        <v>4.59233333333333</v>
      </c>
      <c r="F255" s="43" t="n">
        <v>3.67386666666667</v>
      </c>
      <c r="G255" s="43" t="n">
        <v>3.06155555555556</v>
      </c>
      <c r="H255" s="43" t="n">
        <v>23.4209</v>
      </c>
      <c r="I255" s="43" t="n">
        <f aca="false">H255-F255</f>
        <v>19.7470333333333</v>
      </c>
      <c r="J255" s="25" t="s">
        <v>169</v>
      </c>
    </row>
    <row r="256" customFormat="false" ht="15" hidden="false" customHeight="true" outlineLevel="0" collapsed="false">
      <c r="A256" s="25" t="s">
        <v>220</v>
      </c>
      <c r="B256" s="25" t="s">
        <v>370</v>
      </c>
      <c r="C256" s="42" t="n">
        <v>29.95</v>
      </c>
      <c r="D256" s="43" t="n">
        <v>27.554</v>
      </c>
      <c r="E256" s="43" t="n">
        <v>4.59233333333333</v>
      </c>
      <c r="F256" s="43" t="n">
        <v>3.67386666666667</v>
      </c>
      <c r="G256" s="43" t="n">
        <v>3.06155555555556</v>
      </c>
      <c r="H256" s="43" t="n">
        <v>23.4209</v>
      </c>
      <c r="I256" s="43" t="n">
        <f aca="false">H256-F256</f>
        <v>19.7470333333333</v>
      </c>
      <c r="J256" s="25" t="s">
        <v>169</v>
      </c>
    </row>
    <row r="257" customFormat="false" ht="15" hidden="false" customHeight="true" outlineLevel="0" collapsed="false">
      <c r="A257" s="26" t="s">
        <v>220</v>
      </c>
      <c r="B257" s="26" t="s">
        <v>371</v>
      </c>
      <c r="C257" s="41" t="n">
        <v>29.95</v>
      </c>
      <c r="D257" s="31" t="n">
        <v>27.554</v>
      </c>
      <c r="E257" s="31" t="n">
        <v>4.59233333333333</v>
      </c>
      <c r="F257" s="31" t="n">
        <v>3.67386666666667</v>
      </c>
      <c r="G257" s="31" t="n">
        <v>3.06155555555556</v>
      </c>
      <c r="H257" s="31" t="n">
        <v>23.4209</v>
      </c>
      <c r="I257" s="31" t="n">
        <f aca="false">H257-F257</f>
        <v>19.7470333333333</v>
      </c>
      <c r="J257" s="26" t="s">
        <v>169</v>
      </c>
    </row>
    <row r="258" customFormat="false" ht="15" hidden="false" customHeight="true" outlineLevel="0" collapsed="false">
      <c r="A258" s="26" t="s">
        <v>203</v>
      </c>
      <c r="B258" s="26" t="s">
        <v>372</v>
      </c>
      <c r="C258" s="41" t="n">
        <v>29.95</v>
      </c>
      <c r="D258" s="31" t="n">
        <v>27.554</v>
      </c>
      <c r="E258" s="31" t="n">
        <v>4.59233333333333</v>
      </c>
      <c r="F258" s="31" t="n">
        <v>3.67386666666667</v>
      </c>
      <c r="G258" s="31" t="n">
        <v>3.06155555555556</v>
      </c>
      <c r="H258" s="31" t="n">
        <v>23.4209</v>
      </c>
      <c r="I258" s="31" t="n">
        <f aca="false">H258-F258</f>
        <v>19.7470333333333</v>
      </c>
      <c r="J258" s="26" t="s">
        <v>169</v>
      </c>
    </row>
    <row r="259" customFormat="false" ht="15" hidden="false" customHeight="true" outlineLevel="0" collapsed="false">
      <c r="A259" s="26" t="s">
        <v>220</v>
      </c>
      <c r="B259" s="26" t="s">
        <v>373</v>
      </c>
      <c r="C259" s="41" t="n">
        <v>28</v>
      </c>
      <c r="D259" s="31" t="n">
        <v>25.76</v>
      </c>
      <c r="E259" s="31" t="n">
        <v>4.29333333333333</v>
      </c>
      <c r="F259" s="31" t="n">
        <v>3.43466666666667</v>
      </c>
      <c r="G259" s="31" t="n">
        <v>2.86222222222222</v>
      </c>
      <c r="H259" s="31" t="n">
        <v>21.896</v>
      </c>
      <c r="I259" s="31" t="n">
        <f aca="false">H259-F259</f>
        <v>18.4613333333333</v>
      </c>
      <c r="J259" s="26" t="s">
        <v>169</v>
      </c>
    </row>
    <row r="260" customFormat="false" ht="15" hidden="false" customHeight="true" outlineLevel="0" collapsed="false">
      <c r="A260" s="25" t="s">
        <v>220</v>
      </c>
      <c r="B260" s="25" t="s">
        <v>374</v>
      </c>
      <c r="C260" s="42" t="n">
        <v>24.95</v>
      </c>
      <c r="D260" s="43" t="n">
        <v>22.954</v>
      </c>
      <c r="E260" s="43" t="n">
        <v>3.82566666666667</v>
      </c>
      <c r="F260" s="43" t="n">
        <v>3.06053333333333</v>
      </c>
      <c r="G260" s="43" t="n">
        <v>2.55044444444444</v>
      </c>
      <c r="H260" s="43" t="n">
        <v>19.5109</v>
      </c>
      <c r="I260" s="43" t="n">
        <f aca="false">H260-F260</f>
        <v>16.4503666666667</v>
      </c>
      <c r="J260" s="25" t="s">
        <v>169</v>
      </c>
    </row>
    <row r="261" customFormat="false" ht="15" hidden="false" customHeight="true" outlineLevel="0" collapsed="false">
      <c r="A261" s="26" t="s">
        <v>220</v>
      </c>
      <c r="B261" s="26" t="s">
        <v>375</v>
      </c>
      <c r="C261" s="41" t="n">
        <v>24.95</v>
      </c>
      <c r="D261" s="31" t="n">
        <v>22.954</v>
      </c>
      <c r="E261" s="31" t="n">
        <v>3.82566666666667</v>
      </c>
      <c r="F261" s="31" t="n">
        <v>3.06053333333333</v>
      </c>
      <c r="G261" s="31" t="n">
        <v>2.55044444444444</v>
      </c>
      <c r="H261" s="31" t="n">
        <v>19.5109</v>
      </c>
      <c r="I261" s="31" t="n">
        <f aca="false">H261-F261</f>
        <v>16.4503666666667</v>
      </c>
      <c r="J261" s="26" t="s">
        <v>169</v>
      </c>
    </row>
    <row r="262" customFormat="false" ht="15" hidden="false" customHeight="true" outlineLevel="0" collapsed="false">
      <c r="A262" s="26" t="s">
        <v>220</v>
      </c>
      <c r="B262" s="26" t="s">
        <v>376</v>
      </c>
      <c r="C262" s="41" t="n">
        <v>24.95</v>
      </c>
      <c r="D262" s="31" t="n">
        <v>22.954</v>
      </c>
      <c r="E262" s="31" t="n">
        <v>3.82566666666667</v>
      </c>
      <c r="F262" s="31" t="n">
        <v>3.06053333333333</v>
      </c>
      <c r="G262" s="31" t="n">
        <v>2.55044444444444</v>
      </c>
      <c r="H262" s="31" t="n">
        <v>19.5109</v>
      </c>
      <c r="I262" s="31" t="n">
        <f aca="false">H262-F262</f>
        <v>16.4503666666667</v>
      </c>
      <c r="J262" s="26" t="s">
        <v>169</v>
      </c>
    </row>
    <row r="263" customFormat="false" ht="15" hidden="false" customHeight="true" outlineLevel="0" collapsed="false">
      <c r="A263" s="26" t="s">
        <v>220</v>
      </c>
      <c r="B263" s="26" t="s">
        <v>377</v>
      </c>
      <c r="C263" s="41" t="n">
        <v>24.95</v>
      </c>
      <c r="D263" s="31" t="n">
        <v>22.954</v>
      </c>
      <c r="E263" s="31" t="n">
        <v>3.82566666666667</v>
      </c>
      <c r="F263" s="31" t="n">
        <v>3.06053333333333</v>
      </c>
      <c r="G263" s="31" t="n">
        <v>2.55044444444444</v>
      </c>
      <c r="H263" s="31" t="n">
        <v>19.5109</v>
      </c>
      <c r="I263" s="31" t="n">
        <f aca="false">H263-F263</f>
        <v>16.4503666666667</v>
      </c>
      <c r="J263" s="26" t="s">
        <v>169</v>
      </c>
    </row>
    <row r="264" customFormat="false" ht="15" hidden="false" customHeight="true" outlineLevel="0" collapsed="false">
      <c r="A264" s="26" t="s">
        <v>220</v>
      </c>
      <c r="B264" s="26" t="s">
        <v>378</v>
      </c>
      <c r="C264" s="41" t="n">
        <v>21.95</v>
      </c>
      <c r="D264" s="31" t="n">
        <v>20.194</v>
      </c>
      <c r="E264" s="31" t="n">
        <v>3.36566666666667</v>
      </c>
      <c r="F264" s="31" t="n">
        <v>2.69253333333333</v>
      </c>
      <c r="G264" s="31" t="n">
        <v>2.24377777777778</v>
      </c>
      <c r="H264" s="31" t="n">
        <v>17.1649</v>
      </c>
      <c r="I264" s="31" t="n">
        <f aca="false">H264-F264</f>
        <v>14.4723666666667</v>
      </c>
      <c r="J264" s="26" t="s">
        <v>169</v>
      </c>
    </row>
    <row r="265" customFormat="false" ht="15" hidden="false" customHeight="true" outlineLevel="0" collapsed="false">
      <c r="A265" s="25" t="s">
        <v>220</v>
      </c>
      <c r="B265" s="25" t="s">
        <v>379</v>
      </c>
      <c r="C265" s="42" t="n">
        <v>21.95</v>
      </c>
      <c r="D265" s="43" t="n">
        <v>20.194</v>
      </c>
      <c r="E265" s="43" t="n">
        <v>3.36566666666667</v>
      </c>
      <c r="F265" s="43" t="n">
        <v>2.69253333333333</v>
      </c>
      <c r="G265" s="43" t="n">
        <v>2.24377777777778</v>
      </c>
      <c r="H265" s="43" t="n">
        <v>17.1649</v>
      </c>
      <c r="I265" s="43" t="n">
        <f aca="false">H265-F265</f>
        <v>14.4723666666667</v>
      </c>
      <c r="J265" s="25" t="s">
        <v>169</v>
      </c>
    </row>
    <row r="266" customFormat="false" ht="15" hidden="false" customHeight="true" outlineLevel="0" collapsed="false">
      <c r="A266" s="25" t="s">
        <v>220</v>
      </c>
      <c r="B266" s="25" t="s">
        <v>380</v>
      </c>
      <c r="C266" s="42" t="n">
        <v>19.95</v>
      </c>
      <c r="D266" s="43" t="n">
        <v>18.354</v>
      </c>
      <c r="E266" s="43" t="n">
        <v>3.059</v>
      </c>
      <c r="F266" s="43" t="n">
        <v>2.4472</v>
      </c>
      <c r="G266" s="43" t="n">
        <v>2.03933333333333</v>
      </c>
      <c r="H266" s="43" t="n">
        <v>15.6009</v>
      </c>
      <c r="I266" s="43" t="n">
        <f aca="false">H266-F266</f>
        <v>13.1537</v>
      </c>
      <c r="J266" s="25" t="s">
        <v>169</v>
      </c>
    </row>
    <row r="267" customFormat="false" ht="15" hidden="false" customHeight="true" outlineLevel="0" collapsed="false">
      <c r="A267" s="25" t="s">
        <v>220</v>
      </c>
      <c r="B267" s="25" t="s">
        <v>381</v>
      </c>
      <c r="C267" s="42" t="n">
        <v>19.95</v>
      </c>
      <c r="D267" s="43" t="n">
        <v>18.354</v>
      </c>
      <c r="E267" s="43" t="n">
        <v>3.059</v>
      </c>
      <c r="F267" s="43" t="n">
        <v>2.4472</v>
      </c>
      <c r="G267" s="43" t="n">
        <v>2.03933333333333</v>
      </c>
      <c r="H267" s="43" t="n">
        <v>15.6009</v>
      </c>
      <c r="I267" s="43" t="n">
        <f aca="false">H267-F267</f>
        <v>13.1537</v>
      </c>
      <c r="J267" s="25" t="s">
        <v>169</v>
      </c>
    </row>
    <row r="268" customFormat="false" ht="15" hidden="false" customHeight="true" outlineLevel="0" collapsed="false">
      <c r="A268" s="26" t="s">
        <v>220</v>
      </c>
      <c r="B268" s="26" t="s">
        <v>382</v>
      </c>
      <c r="C268" s="41" t="n">
        <v>19.95</v>
      </c>
      <c r="D268" s="31" t="n">
        <v>18.354</v>
      </c>
      <c r="E268" s="31" t="n">
        <v>3.059</v>
      </c>
      <c r="F268" s="31" t="n">
        <v>2.4472</v>
      </c>
      <c r="G268" s="31" t="n">
        <v>2.03933333333333</v>
      </c>
      <c r="H268" s="31" t="n">
        <v>15.6009</v>
      </c>
      <c r="I268" s="31" t="n">
        <f aca="false">H268-F268</f>
        <v>13.1537</v>
      </c>
      <c r="J268" s="26" t="s">
        <v>169</v>
      </c>
    </row>
    <row r="269" customFormat="false" ht="15" hidden="false" customHeight="true" outlineLevel="0" collapsed="false">
      <c r="A269" s="26" t="s">
        <v>220</v>
      </c>
      <c r="B269" s="26" t="s">
        <v>383</v>
      </c>
      <c r="C269" s="41" t="n">
        <v>19.95</v>
      </c>
      <c r="D269" s="31" t="n">
        <v>18.354</v>
      </c>
      <c r="E269" s="31" t="n">
        <v>3.059</v>
      </c>
      <c r="F269" s="31" t="n">
        <v>2.4472</v>
      </c>
      <c r="G269" s="31" t="n">
        <v>2.03933333333333</v>
      </c>
      <c r="H269" s="31" t="n">
        <v>15.6009</v>
      </c>
      <c r="I269" s="31" t="n">
        <f aca="false">H269-F269</f>
        <v>13.1537</v>
      </c>
      <c r="J269" s="26" t="s">
        <v>169</v>
      </c>
    </row>
    <row r="270" customFormat="false" ht="15" hidden="false" customHeight="true" outlineLevel="0" collapsed="false">
      <c r="A270" s="25" t="s">
        <v>220</v>
      </c>
      <c r="B270" s="25" t="s">
        <v>384</v>
      </c>
      <c r="C270" s="42" t="n">
        <v>19.95</v>
      </c>
      <c r="D270" s="43" t="n">
        <v>18.354</v>
      </c>
      <c r="E270" s="43" t="n">
        <v>3.059</v>
      </c>
      <c r="F270" s="43" t="n">
        <v>2.4472</v>
      </c>
      <c r="G270" s="43" t="n">
        <v>2.03933333333333</v>
      </c>
      <c r="H270" s="43" t="n">
        <v>15.6009</v>
      </c>
      <c r="I270" s="43" t="n">
        <f aca="false">H270-F270</f>
        <v>13.1537</v>
      </c>
      <c r="J270" s="25" t="s">
        <v>169</v>
      </c>
    </row>
    <row r="271" customFormat="false" ht="15" hidden="false" customHeight="true" outlineLevel="0" collapsed="false">
      <c r="A271" s="26" t="s">
        <v>220</v>
      </c>
      <c r="B271" s="26" t="s">
        <v>385</v>
      </c>
      <c r="C271" s="41" t="n">
        <v>19.95</v>
      </c>
      <c r="D271" s="31" t="n">
        <v>18.354</v>
      </c>
      <c r="E271" s="31" t="n">
        <v>3.059</v>
      </c>
      <c r="F271" s="31" t="n">
        <v>2.4472</v>
      </c>
      <c r="G271" s="31" t="n">
        <v>2.03933333333333</v>
      </c>
      <c r="H271" s="31" t="n">
        <v>15.6009</v>
      </c>
      <c r="I271" s="31" t="n">
        <f aca="false">H271-F271</f>
        <v>13.1537</v>
      </c>
      <c r="J271" s="26" t="s">
        <v>169</v>
      </c>
    </row>
    <row r="272" customFormat="false" ht="15" hidden="false" customHeight="true" outlineLevel="0" collapsed="false">
      <c r="A272" s="25" t="s">
        <v>220</v>
      </c>
      <c r="B272" s="25" t="s">
        <v>386</v>
      </c>
      <c r="C272" s="42" t="n">
        <v>18.95</v>
      </c>
      <c r="D272" s="43" t="n">
        <v>17.434</v>
      </c>
      <c r="E272" s="43" t="n">
        <v>2.90566666666667</v>
      </c>
      <c r="F272" s="43" t="n">
        <v>2.32453333333333</v>
      </c>
      <c r="G272" s="43" t="n">
        <v>1.93711111111111</v>
      </c>
      <c r="H272" s="43" t="n">
        <v>14.8189</v>
      </c>
      <c r="I272" s="43" t="n">
        <f aca="false">H272-F272</f>
        <v>12.4943666666667</v>
      </c>
      <c r="J272" s="25" t="s">
        <v>169</v>
      </c>
    </row>
    <row r="273" customFormat="false" ht="15" hidden="false" customHeight="true" outlineLevel="0" collapsed="false">
      <c r="A273" s="26" t="s">
        <v>220</v>
      </c>
      <c r="B273" s="26" t="s">
        <v>387</v>
      </c>
      <c r="C273" s="41" t="n">
        <v>18.95</v>
      </c>
      <c r="D273" s="31" t="n">
        <v>17.434</v>
      </c>
      <c r="E273" s="31" t="n">
        <v>2.90566666666667</v>
      </c>
      <c r="F273" s="31" t="n">
        <v>2.32453333333333</v>
      </c>
      <c r="G273" s="31" t="n">
        <v>1.93711111111111</v>
      </c>
      <c r="H273" s="31" t="n">
        <v>14.8189</v>
      </c>
      <c r="I273" s="31" t="n">
        <f aca="false">H273-F273</f>
        <v>12.4943666666667</v>
      </c>
      <c r="J273" s="26" t="s">
        <v>169</v>
      </c>
    </row>
    <row r="274" customFormat="false" ht="15" hidden="false" customHeight="true" outlineLevel="0" collapsed="false">
      <c r="A274" s="26" t="s">
        <v>220</v>
      </c>
      <c r="B274" s="26" t="s">
        <v>388</v>
      </c>
      <c r="C274" s="41" t="n">
        <v>18.95</v>
      </c>
      <c r="D274" s="31" t="n">
        <v>17.434</v>
      </c>
      <c r="E274" s="31" t="n">
        <v>2.90566666666667</v>
      </c>
      <c r="F274" s="31" t="n">
        <v>2.32453333333333</v>
      </c>
      <c r="G274" s="31" t="n">
        <v>1.93711111111111</v>
      </c>
      <c r="H274" s="31" t="n">
        <v>14.8189</v>
      </c>
      <c r="I274" s="31" t="n">
        <f aca="false">H274-F274</f>
        <v>12.4943666666667</v>
      </c>
      <c r="J274" s="26" t="s">
        <v>169</v>
      </c>
    </row>
    <row r="275" customFormat="false" ht="15" hidden="false" customHeight="true" outlineLevel="0" collapsed="false">
      <c r="A275" s="26" t="s">
        <v>220</v>
      </c>
      <c r="B275" s="26" t="s">
        <v>389</v>
      </c>
      <c r="C275" s="41" t="n">
        <v>18.95</v>
      </c>
      <c r="D275" s="31" t="n">
        <v>17.434</v>
      </c>
      <c r="E275" s="31" t="n">
        <v>2.90566666666667</v>
      </c>
      <c r="F275" s="31" t="n">
        <v>2.32453333333333</v>
      </c>
      <c r="G275" s="31" t="n">
        <v>1.93711111111111</v>
      </c>
      <c r="H275" s="31" t="n">
        <v>14.8189</v>
      </c>
      <c r="I275" s="31" t="n">
        <f aca="false">H275-F275</f>
        <v>12.4943666666667</v>
      </c>
      <c r="J275" s="26" t="s">
        <v>169</v>
      </c>
    </row>
    <row r="276" customFormat="false" ht="15" hidden="false" customHeight="true" outlineLevel="0" collapsed="false">
      <c r="A276" s="26" t="s">
        <v>220</v>
      </c>
      <c r="B276" s="26" t="s">
        <v>390</v>
      </c>
      <c r="C276" s="41" t="n">
        <v>18.95</v>
      </c>
      <c r="D276" s="31" t="n">
        <v>17.434</v>
      </c>
      <c r="E276" s="31" t="n">
        <v>2.90566666666667</v>
      </c>
      <c r="F276" s="31" t="n">
        <v>2.32453333333333</v>
      </c>
      <c r="G276" s="31" t="n">
        <v>1.93711111111111</v>
      </c>
      <c r="H276" s="31" t="n">
        <v>14.8189</v>
      </c>
      <c r="I276" s="31" t="n">
        <f aca="false">H276-F276</f>
        <v>12.4943666666667</v>
      </c>
      <c r="J276" s="26" t="s">
        <v>169</v>
      </c>
    </row>
    <row r="277" customFormat="false" ht="15" hidden="false" customHeight="true" outlineLevel="0" collapsed="false">
      <c r="A277" s="25" t="s">
        <v>220</v>
      </c>
      <c r="B277" s="25" t="s">
        <v>391</v>
      </c>
      <c r="C277" s="42" t="n">
        <v>18.95</v>
      </c>
      <c r="D277" s="43" t="n">
        <v>17.434</v>
      </c>
      <c r="E277" s="43" t="n">
        <v>2.90566666666667</v>
      </c>
      <c r="F277" s="43" t="n">
        <v>2.32453333333333</v>
      </c>
      <c r="G277" s="43" t="n">
        <v>1.93711111111111</v>
      </c>
      <c r="H277" s="43" t="n">
        <v>14.8189</v>
      </c>
      <c r="I277" s="43" t="n">
        <f aca="false">H277-F277</f>
        <v>12.4943666666667</v>
      </c>
      <c r="J277" s="25" t="s">
        <v>169</v>
      </c>
    </row>
    <row r="278" customFormat="false" ht="15" hidden="false" customHeight="true" outlineLevel="0" collapsed="false">
      <c r="A278" s="26" t="s">
        <v>220</v>
      </c>
      <c r="B278" s="26" t="s">
        <v>392</v>
      </c>
      <c r="C278" s="41" t="n">
        <v>18.95</v>
      </c>
      <c r="D278" s="31" t="n">
        <v>17.434</v>
      </c>
      <c r="E278" s="31" t="n">
        <v>2.90566666666667</v>
      </c>
      <c r="F278" s="31" t="n">
        <v>2.32453333333333</v>
      </c>
      <c r="G278" s="31" t="n">
        <v>1.93711111111111</v>
      </c>
      <c r="H278" s="31" t="n">
        <v>14.8189</v>
      </c>
      <c r="I278" s="31" t="n">
        <f aca="false">H278-F278</f>
        <v>12.4943666666667</v>
      </c>
      <c r="J278" s="26" t="s">
        <v>169</v>
      </c>
    </row>
    <row r="279" customFormat="false" ht="15" hidden="false" customHeight="true" outlineLevel="0" collapsed="false">
      <c r="A279" s="26" t="s">
        <v>203</v>
      </c>
      <c r="B279" s="26" t="s">
        <v>393</v>
      </c>
      <c r="C279" s="41" t="n">
        <v>18.95</v>
      </c>
      <c r="D279" s="31" t="n">
        <v>17.434</v>
      </c>
      <c r="E279" s="31" t="n">
        <v>2.90566666666667</v>
      </c>
      <c r="F279" s="31" t="n">
        <v>2.32453333333333</v>
      </c>
      <c r="G279" s="31" t="n">
        <v>1.93711111111111</v>
      </c>
      <c r="H279" s="31" t="n">
        <v>14.8189</v>
      </c>
      <c r="I279" s="31" t="n">
        <f aca="false">H279-F279</f>
        <v>12.4943666666667</v>
      </c>
      <c r="J279" s="26" t="s">
        <v>169</v>
      </c>
    </row>
    <row r="280" customFormat="false" ht="15" hidden="false" customHeight="true" outlineLevel="0" collapsed="false">
      <c r="A280" s="25" t="s">
        <v>203</v>
      </c>
      <c r="B280" s="25" t="s">
        <v>394</v>
      </c>
      <c r="C280" s="42" t="n">
        <v>18.95</v>
      </c>
      <c r="D280" s="43" t="n">
        <v>17.434</v>
      </c>
      <c r="E280" s="43" t="n">
        <v>2.90566666666667</v>
      </c>
      <c r="F280" s="43" t="n">
        <v>2.32453333333333</v>
      </c>
      <c r="G280" s="43" t="n">
        <v>1.93711111111111</v>
      </c>
      <c r="H280" s="43" t="n">
        <v>14.8189</v>
      </c>
      <c r="I280" s="43" t="n">
        <f aca="false">H280-F280</f>
        <v>12.4943666666667</v>
      </c>
      <c r="J280" s="25" t="s">
        <v>169</v>
      </c>
    </row>
    <row r="281" customFormat="false" ht="15" hidden="false" customHeight="true" outlineLevel="0" collapsed="false">
      <c r="A281" s="25" t="s">
        <v>220</v>
      </c>
      <c r="B281" s="25" t="s">
        <v>395</v>
      </c>
      <c r="C281" s="42" t="n">
        <v>16.95</v>
      </c>
      <c r="D281" s="43" t="n">
        <v>15.594</v>
      </c>
      <c r="E281" s="43" t="n">
        <v>2.599</v>
      </c>
      <c r="F281" s="43" t="n">
        <v>2.0792</v>
      </c>
      <c r="G281" s="43" t="n">
        <v>1.73266666666667</v>
      </c>
      <c r="H281" s="43" t="n">
        <v>13.2549</v>
      </c>
      <c r="I281" s="43" t="n">
        <f aca="false">H281-F281</f>
        <v>11.1757</v>
      </c>
      <c r="J281" s="25" t="s">
        <v>169</v>
      </c>
    </row>
    <row r="282" customFormat="false" ht="15" hidden="false" customHeight="true" outlineLevel="0" collapsed="false">
      <c r="A282" s="25" t="s">
        <v>220</v>
      </c>
      <c r="B282" s="25" t="s">
        <v>396</v>
      </c>
      <c r="C282" s="42" t="n">
        <v>16.95</v>
      </c>
      <c r="D282" s="43" t="n">
        <v>15.594</v>
      </c>
      <c r="E282" s="43" t="n">
        <v>2.599</v>
      </c>
      <c r="F282" s="43" t="n">
        <v>2.0792</v>
      </c>
      <c r="G282" s="43" t="n">
        <v>1.73266666666667</v>
      </c>
      <c r="H282" s="43" t="n">
        <v>13.2549</v>
      </c>
      <c r="I282" s="43" t="n">
        <f aca="false">H282-F282</f>
        <v>11.1757</v>
      </c>
      <c r="J282" s="25" t="s">
        <v>169</v>
      </c>
    </row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I16" activeCellId="0" sqref="I16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1.99"/>
    <col collapsed="false" customWidth="true" hidden="false" outlineLevel="0" max="5" min="3" style="1" width="18"/>
    <col collapsed="false" customWidth="true" hidden="false" outlineLevel="0" max="9" min="6" style="1" width="19.99"/>
  </cols>
  <sheetData>
    <row r="1" customFormat="false" ht="15" hidden="false" customHeight="true" outlineLevel="0" collapsed="false">
      <c r="A1" s="5" t="s">
        <v>397</v>
      </c>
    </row>
    <row r="3" customFormat="false" ht="36.75" hidden="false" customHeight="true" outlineLevel="0" collapsed="false">
      <c r="A3" s="23" t="s">
        <v>107</v>
      </c>
      <c r="B3" s="23" t="s">
        <v>398</v>
      </c>
      <c r="C3" s="23" t="s">
        <v>399</v>
      </c>
      <c r="D3" s="23" t="s">
        <v>400</v>
      </c>
      <c r="E3" s="23" t="s">
        <v>401</v>
      </c>
      <c r="F3" s="23" t="s">
        <v>402</v>
      </c>
      <c r="G3" s="23" t="s">
        <v>403</v>
      </c>
      <c r="H3" s="23" t="s">
        <v>404</v>
      </c>
      <c r="I3" s="23" t="s">
        <v>405</v>
      </c>
    </row>
    <row r="4" customFormat="false" ht="15" hidden="false" customHeight="true" outlineLevel="0" collapsed="false">
      <c r="A4" s="44" t="s">
        <v>252</v>
      </c>
      <c r="B4" s="44" t="n">
        <v>3</v>
      </c>
      <c r="C4" s="45" t="n">
        <v>119.5908</v>
      </c>
      <c r="D4" s="45" t="n">
        <v>15.94544</v>
      </c>
      <c r="E4" s="45" t="n">
        <v>101.65218</v>
      </c>
      <c r="F4" s="46" t="n">
        <v>0.843137254901961</v>
      </c>
      <c r="G4" s="44" t="n">
        <v>5</v>
      </c>
      <c r="H4" s="45" t="n">
        <f aca="false">G4*D4</f>
        <v>79.7272</v>
      </c>
      <c r="I4" s="45" t="n">
        <f aca="false">(E4*G4)-H4</f>
        <v>428.5337</v>
      </c>
    </row>
    <row r="5" customFormat="false" ht="15" hidden="false" customHeight="true" outlineLevel="0" collapsed="false">
      <c r="A5" s="44" t="s">
        <v>117</v>
      </c>
      <c r="B5" s="44" t="n">
        <v>73</v>
      </c>
      <c r="C5" s="45" t="n">
        <v>317.191928767123</v>
      </c>
      <c r="D5" s="45" t="n">
        <v>42.2922571689498</v>
      </c>
      <c r="E5" s="45" t="n">
        <v>269.613139452055</v>
      </c>
      <c r="F5" s="46" t="n">
        <v>0.843137254901961</v>
      </c>
      <c r="G5" s="44" t="n">
        <v>15</v>
      </c>
      <c r="H5" s="45" t="n">
        <f aca="false">G5*D5</f>
        <v>634.383857534247</v>
      </c>
      <c r="I5" s="45" t="n">
        <f aca="false">(E5*G5)-H5</f>
        <v>3409.81323424658</v>
      </c>
    </row>
    <row r="6" customFormat="false" ht="15" hidden="false" customHeight="true" outlineLevel="0" collapsed="false">
      <c r="A6" s="44" t="s">
        <v>154</v>
      </c>
      <c r="B6" s="44" t="n">
        <v>18</v>
      </c>
      <c r="C6" s="45" t="n">
        <v>99.7648</v>
      </c>
      <c r="D6" s="45" t="n">
        <v>13.3019733333333</v>
      </c>
      <c r="E6" s="45" t="n">
        <v>84.80008</v>
      </c>
      <c r="F6" s="46" t="n">
        <v>0.843137254901961</v>
      </c>
      <c r="G6" s="44" t="n">
        <v>30</v>
      </c>
      <c r="H6" s="45" t="n">
        <f aca="false">G6*D6</f>
        <v>399.059199999999</v>
      </c>
      <c r="I6" s="45" t="n">
        <f aca="false">(E6*G6)-H6</f>
        <v>2144.9432</v>
      </c>
    </row>
    <row r="7" customFormat="false" ht="15" hidden="false" customHeight="true" outlineLevel="0" collapsed="false">
      <c r="A7" s="44" t="s">
        <v>220</v>
      </c>
      <c r="B7" s="44" t="n">
        <v>101</v>
      </c>
      <c r="C7" s="45" t="n">
        <v>57.6866415841584</v>
      </c>
      <c r="D7" s="45" t="n">
        <v>7.69155221122113</v>
      </c>
      <c r="E7" s="45" t="n">
        <v>49.0336453465347</v>
      </c>
      <c r="F7" s="46" t="n">
        <v>0.843137254901961</v>
      </c>
      <c r="G7" s="44" t="n">
        <v>40</v>
      </c>
      <c r="H7" s="45" t="n">
        <f aca="false">G7*D7</f>
        <v>307.662088448845</v>
      </c>
      <c r="I7" s="45" t="n">
        <f aca="false">(E7*G7)-H7</f>
        <v>1653.68372541254</v>
      </c>
    </row>
    <row r="8" customFormat="false" ht="15" hidden="false" customHeight="true" outlineLevel="0" collapsed="false">
      <c r="A8" s="44" t="s">
        <v>122</v>
      </c>
      <c r="B8" s="44" t="n">
        <v>17</v>
      </c>
      <c r="C8" s="45" t="n">
        <v>450.409270588235</v>
      </c>
      <c r="D8" s="45" t="n">
        <v>60.0545694117647</v>
      </c>
      <c r="E8" s="45" t="n">
        <v>382.84788</v>
      </c>
      <c r="F8" s="46" t="n">
        <v>0.843137254901961</v>
      </c>
      <c r="G8" s="44" t="n">
        <v>5</v>
      </c>
      <c r="H8" s="45" t="n">
        <f aca="false">G8*D8</f>
        <v>300.272847058824</v>
      </c>
      <c r="I8" s="45" t="n">
        <f aca="false">(E8*G8)-H8</f>
        <v>1613.96655294118</v>
      </c>
    </row>
    <row r="9" customFormat="false" ht="15" hidden="false" customHeight="true" outlineLevel="0" collapsed="false">
      <c r="A9" s="44" t="s">
        <v>167</v>
      </c>
      <c r="B9" s="44" t="n">
        <v>32</v>
      </c>
      <c r="C9" s="45" t="n">
        <v>257.554</v>
      </c>
      <c r="D9" s="45" t="n">
        <v>34.3405333333333</v>
      </c>
      <c r="E9" s="45" t="n">
        <v>218.9209</v>
      </c>
      <c r="F9" s="46" t="n">
        <v>0.843137254901961</v>
      </c>
      <c r="G9" s="44" t="n">
        <v>20</v>
      </c>
      <c r="H9" s="45" t="n">
        <f aca="false">G9*D9</f>
        <v>686.810666666666</v>
      </c>
      <c r="I9" s="45" t="n">
        <f aca="false">(E9*G9)-H9</f>
        <v>3691.60733333333</v>
      </c>
    </row>
    <row r="10" customFormat="false" ht="15" hidden="false" customHeight="true" outlineLevel="0" collapsed="false">
      <c r="A10" s="44" t="s">
        <v>149</v>
      </c>
      <c r="B10" s="44" t="n">
        <v>17</v>
      </c>
      <c r="C10" s="45" t="n">
        <v>363.400541176471</v>
      </c>
      <c r="D10" s="45" t="n">
        <v>48.4534054901961</v>
      </c>
      <c r="E10" s="45" t="n">
        <v>308.89046</v>
      </c>
      <c r="F10" s="46" t="n">
        <v>0.843137254901961</v>
      </c>
      <c r="G10" s="44" t="n">
        <v>8</v>
      </c>
      <c r="H10" s="45" t="n">
        <f aca="false">G10*D10</f>
        <v>387.627243921569</v>
      </c>
      <c r="I10" s="45" t="n">
        <f aca="false">(E10*G10)-H10</f>
        <v>2083.49643607843</v>
      </c>
    </row>
    <row r="11" customFormat="false" ht="15" hidden="false" customHeight="true" outlineLevel="0" collapsed="false">
      <c r="A11" s="44" t="s">
        <v>215</v>
      </c>
      <c r="B11" s="44" t="n">
        <v>5</v>
      </c>
      <c r="C11" s="45" t="n">
        <v>118.45184</v>
      </c>
      <c r="D11" s="45" t="n">
        <v>15.7935786666667</v>
      </c>
      <c r="E11" s="45" t="n">
        <v>100.684064</v>
      </c>
      <c r="F11" s="46" t="n">
        <v>0.843137254901961</v>
      </c>
      <c r="G11" s="44" t="n">
        <v>15</v>
      </c>
      <c r="H11" s="45" t="n">
        <f aca="false">G11*D11</f>
        <v>236.903680000001</v>
      </c>
      <c r="I11" s="45" t="n">
        <f aca="false">(E11*G11)-H11</f>
        <v>1273.35728</v>
      </c>
    </row>
    <row r="12" customFormat="false" ht="15" hidden="false" customHeight="true" outlineLevel="0" collapsed="false">
      <c r="A12" s="44" t="s">
        <v>133</v>
      </c>
      <c r="B12" s="44" t="n">
        <v>16</v>
      </c>
      <c r="C12" s="45" t="n">
        <v>210.81915</v>
      </c>
      <c r="D12" s="45" t="n">
        <v>28.10922</v>
      </c>
      <c r="E12" s="45" t="n">
        <v>179.1962775</v>
      </c>
      <c r="F12" s="46" t="n">
        <v>0.843137254901961</v>
      </c>
      <c r="G12" s="44" t="n">
        <v>6</v>
      </c>
      <c r="H12" s="45" t="n">
        <f aca="false">G12*D12</f>
        <v>168.65532</v>
      </c>
      <c r="I12" s="45" t="n">
        <f aca="false">(E12*G12)-H12</f>
        <v>906.522345</v>
      </c>
    </row>
    <row r="13" customFormat="false" ht="15" hidden="false" customHeight="true" outlineLevel="0" collapsed="false">
      <c r="A13" s="44" t="s">
        <v>203</v>
      </c>
      <c r="B13" s="44" t="n">
        <v>18</v>
      </c>
      <c r="C13" s="45" t="n">
        <v>118.582888888889</v>
      </c>
      <c r="D13" s="45" t="n">
        <v>15.8110518518519</v>
      </c>
      <c r="E13" s="45" t="n">
        <v>100.795455555556</v>
      </c>
      <c r="F13" s="46" t="n">
        <v>0.843137254901961</v>
      </c>
      <c r="G13" s="44" t="n">
        <v>25</v>
      </c>
      <c r="H13" s="45" t="n">
        <f aca="false">G13*D13</f>
        <v>395.276296296297</v>
      </c>
      <c r="I13" s="45" t="n">
        <f aca="false">(E13*G13)-H13</f>
        <v>2124.6100925926</v>
      </c>
    </row>
    <row r="15" customFormat="false" ht="15" hidden="false" customHeight="true" outlineLevel="0" collapsed="false">
      <c r="A15" s="47" t="s">
        <v>406</v>
      </c>
      <c r="G15" s="48" t="n">
        <f aca="false">SUM(G4:G13)</f>
        <v>169</v>
      </c>
      <c r="H15" s="49" t="n">
        <f aca="false">SUM(H4:H13)</f>
        <v>3596.37839992645</v>
      </c>
      <c r="I15" s="49" t="n">
        <f aca="false">SUM(I4:I13)</f>
        <v>19330.5338996047</v>
      </c>
    </row>
    <row r="18" customFormat="false" ht="13.5" hidden="false" customHeight="true" outlineLevel="0" collapsed="false"/>
    <row r="19" customFormat="false" ht="13.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B13" activeCellId="0" sqref="B13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44.99"/>
    <col collapsed="false" customWidth="true" hidden="false" outlineLevel="0" max="3" min="2" style="1" width="19.99"/>
    <col collapsed="false" customWidth="true" hidden="false" outlineLevel="0" max="4" min="4" style="1" width="50"/>
  </cols>
  <sheetData>
    <row r="1" customFormat="false" ht="15" hidden="false" customHeight="true" outlineLevel="0" collapsed="false">
      <c r="A1" s="5" t="s">
        <v>407</v>
      </c>
    </row>
    <row r="3" customFormat="false" ht="15" hidden="false" customHeight="true" outlineLevel="0" collapsed="false">
      <c r="A3" s="23" t="s">
        <v>408</v>
      </c>
      <c r="B3" s="23" t="s">
        <v>409</v>
      </c>
      <c r="C3" s="23" t="s">
        <v>410</v>
      </c>
      <c r="D3" s="23" t="s">
        <v>411</v>
      </c>
    </row>
    <row r="4" customFormat="false" ht="15" hidden="false" customHeight="true" outlineLevel="0" collapsed="false">
      <c r="A4" s="33" t="s">
        <v>412</v>
      </c>
      <c r="B4" s="50"/>
      <c r="C4" s="50"/>
      <c r="D4" s="50"/>
    </row>
    <row r="5" customFormat="false" ht="15" hidden="false" customHeight="true" outlineLevel="0" collapsed="false">
      <c r="A5" s="26" t="s">
        <v>413</v>
      </c>
      <c r="B5" s="31" t="n">
        <v>2100</v>
      </c>
      <c r="C5" s="31" t="n">
        <f aca="false">B5*12</f>
        <v>25200</v>
      </c>
      <c r="D5" s="26" t="s">
        <v>414</v>
      </c>
    </row>
    <row r="6" customFormat="false" ht="15" hidden="false" customHeight="true" outlineLevel="0" collapsed="false">
      <c r="A6" s="26" t="s">
        <v>415</v>
      </c>
      <c r="B6" s="26"/>
      <c r="C6" s="31" t="n">
        <f aca="false">B5*2</f>
        <v>4200</v>
      </c>
      <c r="D6" s="26" t="s">
        <v>416</v>
      </c>
    </row>
    <row r="7" customFormat="false" ht="15" hidden="false" customHeight="true" outlineLevel="0" collapsed="false">
      <c r="A7" s="26" t="s">
        <v>417</v>
      </c>
      <c r="B7" s="31" t="n">
        <v>30</v>
      </c>
      <c r="C7" s="31" t="n">
        <f aca="false">B7*12</f>
        <v>360</v>
      </c>
      <c r="D7" s="26" t="s">
        <v>418</v>
      </c>
    </row>
    <row r="8" customFormat="false" ht="15" hidden="false" customHeight="true" outlineLevel="0" collapsed="false">
      <c r="A8" s="26" t="s">
        <v>419</v>
      </c>
      <c r="B8" s="31" t="n">
        <v>100</v>
      </c>
      <c r="C8" s="31" t="n">
        <f aca="false">B8*12</f>
        <v>1200</v>
      </c>
      <c r="D8" s="26" t="s">
        <v>420</v>
      </c>
    </row>
    <row r="9" customFormat="false" ht="15" hidden="false" customHeight="true" outlineLevel="0" collapsed="false">
      <c r="A9" s="26" t="s">
        <v>421</v>
      </c>
      <c r="B9" s="31" t="n">
        <v>15</v>
      </c>
      <c r="C9" s="31" t="n">
        <f aca="false">B9*12</f>
        <v>180</v>
      </c>
      <c r="D9" s="26" t="s">
        <v>422</v>
      </c>
    </row>
    <row r="11" customFormat="false" ht="15" hidden="false" customHeight="true" outlineLevel="0" collapsed="false">
      <c r="A11" s="33" t="s">
        <v>423</v>
      </c>
      <c r="B11" s="50"/>
      <c r="C11" s="50"/>
      <c r="D11" s="50"/>
    </row>
    <row r="12" customFormat="false" ht="15" hidden="false" customHeight="true" outlineLevel="0" collapsed="false">
      <c r="A12" s="26" t="s">
        <v>424</v>
      </c>
      <c r="B12" s="31" t="n">
        <v>1300</v>
      </c>
      <c r="C12" s="31" t="n">
        <f aca="false">B12*14</f>
        <v>18200</v>
      </c>
      <c r="D12" s="26" t="s">
        <v>425</v>
      </c>
    </row>
    <row r="13" customFormat="false" ht="15" hidden="false" customHeight="true" outlineLevel="0" collapsed="false">
      <c r="A13" s="26" t="s">
        <v>426</v>
      </c>
      <c r="B13" s="31" t="n">
        <v>0</v>
      </c>
      <c r="C13" s="31" t="n">
        <f aca="false">B13*14</f>
        <v>0</v>
      </c>
      <c r="D13" s="26" t="s">
        <v>427</v>
      </c>
    </row>
    <row r="14" customFormat="false" ht="15" hidden="false" customHeight="true" outlineLevel="0" collapsed="false">
      <c r="A14" s="26" t="s">
        <v>428</v>
      </c>
      <c r="B14" s="31" t="n">
        <f aca="false">B12*0.3</f>
        <v>390</v>
      </c>
      <c r="C14" s="31" t="n">
        <f aca="false">B14*12</f>
        <v>4680</v>
      </c>
      <c r="D14" s="26" t="s">
        <v>429</v>
      </c>
    </row>
    <row r="15" customFormat="false" ht="15" hidden="false" customHeight="true" outlineLevel="0" collapsed="false">
      <c r="A15" s="26" t="s">
        <v>430</v>
      </c>
      <c r="B15" s="31" t="n">
        <f aca="false">B13*0.3</f>
        <v>0</v>
      </c>
      <c r="C15" s="31" t="n">
        <f aca="false">B15*12</f>
        <v>0</v>
      </c>
      <c r="D15" s="26" t="s">
        <v>429</v>
      </c>
    </row>
    <row r="16" customFormat="false" ht="15" hidden="false" customHeight="true" outlineLevel="0" collapsed="false">
      <c r="A16" s="26" t="s">
        <v>431</v>
      </c>
      <c r="B16" s="31" t="n">
        <v>0</v>
      </c>
      <c r="C16" s="31" t="n">
        <f aca="false">B16*12</f>
        <v>0</v>
      </c>
      <c r="D16" s="26" t="s">
        <v>432</v>
      </c>
    </row>
    <row r="18" customFormat="false" ht="15" hidden="false" customHeight="true" outlineLevel="0" collapsed="false">
      <c r="A18" s="33" t="s">
        <v>433</v>
      </c>
      <c r="B18" s="50"/>
      <c r="C18" s="50"/>
      <c r="D18" s="50"/>
    </row>
    <row r="19" customFormat="false" ht="15" hidden="false" customHeight="true" outlineLevel="0" collapsed="false">
      <c r="A19" s="26" t="s">
        <v>434</v>
      </c>
      <c r="B19" s="26" t="s">
        <v>435</v>
      </c>
      <c r="C19" s="26" t="s">
        <v>435</v>
      </c>
      <c r="D19" s="26" t="s">
        <v>436</v>
      </c>
    </row>
    <row r="20" customFormat="false" ht="15" hidden="false" customHeight="true" outlineLevel="0" collapsed="false">
      <c r="A20" s="26" t="s">
        <v>437</v>
      </c>
      <c r="B20" s="26"/>
      <c r="C20" s="26"/>
      <c r="D20" s="26" t="s">
        <v>438</v>
      </c>
    </row>
    <row r="21" customFormat="false" ht="15" hidden="false" customHeight="true" outlineLevel="0" collapsed="false">
      <c r="A21" s="26" t="s">
        <v>439</v>
      </c>
      <c r="B21" s="26"/>
      <c r="C21" s="31"/>
      <c r="D21" s="26" t="s">
        <v>440</v>
      </c>
    </row>
    <row r="22" customFormat="false" ht="15" hidden="false" customHeight="true" outlineLevel="0" collapsed="false">
      <c r="A22" s="26" t="s">
        <v>441</v>
      </c>
      <c r="B22" s="26"/>
      <c r="C22" s="26"/>
      <c r="D22" s="26" t="s">
        <v>442</v>
      </c>
    </row>
    <row r="23" customFormat="false" ht="15" hidden="false" customHeight="true" outlineLevel="0" collapsed="false">
      <c r="A23" s="26" t="s">
        <v>443</v>
      </c>
      <c r="B23" s="31" t="n">
        <v>50</v>
      </c>
      <c r="C23" s="31" t="n">
        <f aca="false">B23*12</f>
        <v>600</v>
      </c>
      <c r="D23" s="26" t="s">
        <v>444</v>
      </c>
    </row>
    <row r="24" customFormat="false" ht="15" hidden="false" customHeight="true" outlineLevel="0" collapsed="false">
      <c r="A24" s="26" t="s">
        <v>445</v>
      </c>
      <c r="B24" s="26"/>
      <c r="C24" s="31" t="n">
        <v>1000</v>
      </c>
      <c r="D24" s="26" t="s">
        <v>446</v>
      </c>
    </row>
    <row r="25" customFormat="false" ht="15" hidden="false" customHeight="true" outlineLevel="0" collapsed="false">
      <c r="A25" s="26" t="s">
        <v>447</v>
      </c>
      <c r="B25" s="26"/>
      <c r="C25" s="31" t="n">
        <v>400</v>
      </c>
      <c r="D25" s="26" t="s">
        <v>448</v>
      </c>
    </row>
    <row r="27" customFormat="false" ht="15" hidden="false" customHeight="true" outlineLevel="0" collapsed="false">
      <c r="A27" s="33" t="s">
        <v>449</v>
      </c>
      <c r="B27" s="50"/>
      <c r="C27" s="50"/>
      <c r="D27" s="50"/>
    </row>
    <row r="28" customFormat="false" ht="15" hidden="false" customHeight="true" outlineLevel="0" collapsed="false">
      <c r="A28" s="26" t="s">
        <v>450</v>
      </c>
      <c r="B28" s="31" t="n">
        <v>0</v>
      </c>
      <c r="C28" s="31" t="n">
        <f aca="false">B28*12</f>
        <v>0</v>
      </c>
      <c r="D28" s="26" t="s">
        <v>451</v>
      </c>
    </row>
    <row r="29" customFormat="false" ht="15" hidden="false" customHeight="true" outlineLevel="0" collapsed="false">
      <c r="A29" s="26" t="s">
        <v>452</v>
      </c>
      <c r="B29" s="31" t="n">
        <v>0</v>
      </c>
      <c r="C29" s="31" t="n">
        <f aca="false">B29*12</f>
        <v>0</v>
      </c>
      <c r="D29" s="26" t="s">
        <v>453</v>
      </c>
    </row>
    <row r="30" customFormat="false" ht="15" hidden="false" customHeight="true" outlineLevel="0" collapsed="false">
      <c r="A30" s="26" t="s">
        <v>454</v>
      </c>
      <c r="B30" s="31" t="n">
        <v>0</v>
      </c>
      <c r="C30" s="31" t="n">
        <f aca="false">B30*12</f>
        <v>0</v>
      </c>
      <c r="D30" s="26" t="s">
        <v>455</v>
      </c>
    </row>
    <row r="31" customFormat="false" ht="15" hidden="false" customHeight="true" outlineLevel="0" collapsed="false">
      <c r="A31" s="26" t="s">
        <v>456</v>
      </c>
      <c r="B31" s="31" t="n">
        <v>0</v>
      </c>
      <c r="C31" s="31" t="n">
        <f aca="false">B31*12</f>
        <v>0</v>
      </c>
      <c r="D31" s="26" t="s">
        <v>457</v>
      </c>
    </row>
    <row r="32" customFormat="false" ht="15" hidden="false" customHeight="true" outlineLevel="0" collapsed="false">
      <c r="A32" s="26" t="s">
        <v>458</v>
      </c>
      <c r="B32" s="31" t="n">
        <v>50</v>
      </c>
      <c r="C32" s="31" t="n">
        <f aca="false">B32*12</f>
        <v>600</v>
      </c>
      <c r="D32" s="26" t="s">
        <v>459</v>
      </c>
    </row>
    <row r="34" customFormat="false" ht="15" hidden="false" customHeight="true" outlineLevel="0" collapsed="false">
      <c r="A34" s="51" t="s">
        <v>460</v>
      </c>
      <c r="B34" s="52" t="n">
        <f aca="false">SUM(B5:B32)</f>
        <v>4035</v>
      </c>
      <c r="C34" s="52" t="n">
        <f aca="false">(B34*12)+SUM(C24:C25)</f>
        <v>49820</v>
      </c>
      <c r="D34" s="44" t="s">
        <v>461</v>
      </c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9.99"/>
    <col collapsed="false" customWidth="true" hidden="false" outlineLevel="0" max="3" min="3" style="0" width="54.98"/>
  </cols>
  <sheetData>
    <row r="1" customFormat="false" ht="15" hidden="false" customHeight="false" outlineLevel="0" collapsed="false">
      <c r="A1" s="53" t="s">
        <v>462</v>
      </c>
    </row>
    <row r="3" customFormat="false" ht="15" hidden="false" customHeight="false" outlineLevel="0" collapsed="false">
      <c r="A3" s="7" t="s">
        <v>463</v>
      </c>
      <c r="B3" s="7" t="s">
        <v>464</v>
      </c>
      <c r="C3" s="7" t="s">
        <v>411</v>
      </c>
    </row>
    <row r="4" customFormat="false" ht="15" hidden="false" customHeight="false" outlineLevel="0" collapsed="false">
      <c r="A4" s="54" t="s">
        <v>465</v>
      </c>
      <c r="B4" s="55"/>
      <c r="C4" s="55"/>
    </row>
    <row r="5" customFormat="false" ht="15" hidden="false" customHeight="false" outlineLevel="0" collapsed="false">
      <c r="A5" s="56" t="s">
        <v>466</v>
      </c>
      <c r="B5" s="57" t="n">
        <v>300</v>
      </c>
      <c r="C5" s="56" t="s">
        <v>467</v>
      </c>
    </row>
    <row r="6" customFormat="false" ht="15" hidden="false" customHeight="false" outlineLevel="0" collapsed="false">
      <c r="A6" s="56" t="s">
        <v>468</v>
      </c>
      <c r="B6" s="57" t="n">
        <v>450</v>
      </c>
      <c r="C6" s="56" t="s">
        <v>469</v>
      </c>
    </row>
    <row r="7" customFormat="false" ht="15" hidden="false" customHeight="false" outlineLevel="0" collapsed="false">
      <c r="A7" s="56" t="s">
        <v>470</v>
      </c>
      <c r="B7" s="57" t="n">
        <v>600</v>
      </c>
      <c r="C7" s="56" t="s">
        <v>471</v>
      </c>
    </row>
    <row r="8" customFormat="false" ht="15" hidden="false" customHeight="false" outlineLevel="0" collapsed="false">
      <c r="A8" s="56" t="s">
        <v>472</v>
      </c>
      <c r="B8" s="57" t="n">
        <v>200</v>
      </c>
      <c r="C8" s="56" t="s">
        <v>473</v>
      </c>
    </row>
    <row r="9" customFormat="false" ht="15" hidden="false" customHeight="false" outlineLevel="0" collapsed="false">
      <c r="A9" s="56" t="s">
        <v>474</v>
      </c>
      <c r="B9" s="57" t="n">
        <v>250</v>
      </c>
      <c r="C9" s="56" t="s">
        <v>475</v>
      </c>
    </row>
    <row r="10" customFormat="false" ht="15" hidden="false" customHeight="false" outlineLevel="0" collapsed="false">
      <c r="A10" s="56" t="s">
        <v>476</v>
      </c>
      <c r="B10" s="57" t="n">
        <v>100</v>
      </c>
      <c r="C10" s="56" t="s">
        <v>477</v>
      </c>
    </row>
    <row r="11" customFormat="false" ht="15" hidden="false" customHeight="false" outlineLevel="0" collapsed="false">
      <c r="A11" s="56" t="s">
        <v>478</v>
      </c>
      <c r="B11" s="57" t="n">
        <v>50</v>
      </c>
      <c r="C11" s="56" t="s">
        <v>479</v>
      </c>
    </row>
    <row r="12" customFormat="false" ht="15" hidden="false" customHeight="false" outlineLevel="0" collapsed="false">
      <c r="A12" s="56" t="s">
        <v>480</v>
      </c>
      <c r="B12" s="57" t="n">
        <v>1950</v>
      </c>
      <c r="C12" s="56" t="s">
        <v>481</v>
      </c>
    </row>
    <row r="13" customFormat="false" ht="15" hidden="false" customHeight="false" outlineLevel="0" collapsed="false">
      <c r="A13" s="1"/>
    </row>
    <row r="14" customFormat="false" ht="15" hidden="false" customHeight="false" outlineLevel="0" collapsed="false">
      <c r="A14" s="54" t="s">
        <v>482</v>
      </c>
      <c r="B14" s="55"/>
      <c r="C14" s="55"/>
    </row>
    <row r="15" customFormat="false" ht="15" hidden="false" customHeight="false" outlineLevel="0" collapsed="false">
      <c r="A15" s="56" t="s">
        <v>483</v>
      </c>
      <c r="B15" s="57" t="n">
        <v>2800</v>
      </c>
      <c r="C15" s="56" t="s">
        <v>484</v>
      </c>
    </row>
    <row r="16" customFormat="false" ht="15" hidden="false" customHeight="false" outlineLevel="0" collapsed="false">
      <c r="A16" s="56" t="s">
        <v>485</v>
      </c>
      <c r="B16" s="57" t="n">
        <v>500</v>
      </c>
      <c r="C16" s="56" t="s">
        <v>486</v>
      </c>
    </row>
    <row r="17" customFormat="false" ht="15" hidden="false" customHeight="false" outlineLevel="0" collapsed="false">
      <c r="A17" s="56" t="s">
        <v>487</v>
      </c>
      <c r="B17" s="57" t="n">
        <v>3300</v>
      </c>
      <c r="C17" s="56" t="s">
        <v>488</v>
      </c>
    </row>
    <row r="18" customFormat="false" ht="15" hidden="false" customHeight="false" outlineLevel="0" collapsed="false">
      <c r="A18" s="1"/>
    </row>
    <row r="19" customFormat="false" ht="15" hidden="false" customHeight="false" outlineLevel="0" collapsed="false">
      <c r="A19" s="54" t="s">
        <v>489</v>
      </c>
      <c r="B19" s="55"/>
      <c r="C19" s="55"/>
    </row>
    <row r="20" customFormat="false" ht="15" hidden="false" customHeight="false" outlineLevel="0" collapsed="false">
      <c r="A20" s="56" t="s">
        <v>490</v>
      </c>
      <c r="B20" s="57" t="n">
        <v>11700</v>
      </c>
      <c r="C20" s="56" t="s">
        <v>491</v>
      </c>
    </row>
    <row r="21" customFormat="false" ht="15" hidden="false" customHeight="false" outlineLevel="0" collapsed="false">
      <c r="A21" s="56" t="s">
        <v>492</v>
      </c>
      <c r="B21" s="57" t="n">
        <v>9900</v>
      </c>
      <c r="C21" s="56" t="s">
        <v>493</v>
      </c>
    </row>
    <row r="22" customFormat="false" ht="15" hidden="false" customHeight="false" outlineLevel="0" collapsed="false">
      <c r="A22" s="56" t="s">
        <v>494</v>
      </c>
      <c r="B22" s="57" t="n">
        <v>10000</v>
      </c>
      <c r="C22" s="56" t="s">
        <v>495</v>
      </c>
    </row>
    <row r="23" customFormat="false" ht="15" hidden="false" customHeight="false" outlineLevel="0" collapsed="false">
      <c r="A23" s="56" t="s">
        <v>496</v>
      </c>
      <c r="B23" s="58" t="e">
        <f aca="false">B22/'Monthly Revenue Projection'!N8</f>
        <v>#DIV/0!</v>
      </c>
      <c r="C23" s="56" t="s">
        <v>497</v>
      </c>
    </row>
    <row r="24" customFormat="false" ht="15" hidden="false" customHeight="false" outlineLevel="0" collapsed="false">
      <c r="A24" s="1"/>
    </row>
    <row r="25" customFormat="false" ht="15" hidden="false" customHeight="false" outlineLevel="0" collapsed="false">
      <c r="A25" s="54" t="s">
        <v>498</v>
      </c>
      <c r="B25" s="55"/>
      <c r="C25" s="55"/>
    </row>
    <row r="26" customFormat="false" ht="15" hidden="false" customHeight="false" outlineLevel="0" collapsed="false">
      <c r="A26" s="56" t="s">
        <v>499</v>
      </c>
      <c r="B26" s="56" t="s">
        <v>500</v>
      </c>
      <c r="C26" s="56" t="s">
        <v>501</v>
      </c>
    </row>
    <row r="27" customFormat="false" ht="15" hidden="false" customHeight="false" outlineLevel="0" collapsed="false">
      <c r="A27" s="56" t="s">
        <v>502</v>
      </c>
      <c r="B27" s="56" t="s">
        <v>503</v>
      </c>
      <c r="C27" s="56" t="s">
        <v>504</v>
      </c>
    </row>
    <row r="28" customFormat="false" ht="15" hidden="false" customHeight="false" outlineLevel="0" collapsed="false">
      <c r="A28" s="56" t="s">
        <v>505</v>
      </c>
      <c r="B28" s="56" t="s">
        <v>500</v>
      </c>
      <c r="C28" s="56" t="s">
        <v>506</v>
      </c>
    </row>
    <row r="29" customFormat="false" ht="15" hidden="false" customHeight="false" outlineLevel="0" collapsed="false">
      <c r="A29" s="56" t="s">
        <v>507</v>
      </c>
      <c r="B29" s="56" t="s">
        <v>508</v>
      </c>
      <c r="C29" s="56" t="s">
        <v>509</v>
      </c>
    </row>
    <row r="30" customFormat="false" ht="15" hidden="false" customHeight="false" outlineLevel="0" collapsed="false">
      <c r="A30" s="56" t="s">
        <v>510</v>
      </c>
      <c r="B30" s="56" t="s">
        <v>511</v>
      </c>
      <c r="C30" s="56" t="s">
        <v>512</v>
      </c>
    </row>
    <row r="31" customFormat="false" ht="15" hidden="false" customHeight="false" outlineLevel="0" collapsed="false">
      <c r="A31" s="56" t="s">
        <v>513</v>
      </c>
      <c r="B31" s="56" t="s">
        <v>514</v>
      </c>
      <c r="C31" s="56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C34" activeCellId="0" sqref="C34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44.99"/>
    <col collapsed="false" customWidth="true" hidden="false" outlineLevel="0" max="2" min="2" style="1" width="19.99"/>
    <col collapsed="false" customWidth="true" hidden="false" outlineLevel="0" max="3" min="3" style="1" width="50"/>
  </cols>
  <sheetData>
    <row r="1" customFormat="false" ht="15" hidden="false" customHeight="true" outlineLevel="0" collapsed="false">
      <c r="A1" s="5" t="s">
        <v>516</v>
      </c>
    </row>
    <row r="3" customFormat="false" ht="15" hidden="false" customHeight="true" outlineLevel="0" collapsed="false">
      <c r="A3" s="23" t="s">
        <v>463</v>
      </c>
      <c r="B3" s="23" t="s">
        <v>517</v>
      </c>
      <c r="C3" s="23" t="s">
        <v>411</v>
      </c>
    </row>
    <row r="4" customFormat="false" ht="15" hidden="false" customHeight="true" outlineLevel="0" collapsed="false">
      <c r="A4" s="33" t="s">
        <v>518</v>
      </c>
      <c r="B4" s="50"/>
      <c r="C4" s="50"/>
    </row>
    <row r="5" customFormat="false" ht="15" hidden="false" customHeight="true" outlineLevel="0" collapsed="false">
      <c r="A5" s="26" t="s">
        <v>519</v>
      </c>
      <c r="B5" s="27" t="n">
        <v>100</v>
      </c>
      <c r="C5" s="26" t="s">
        <v>520</v>
      </c>
    </row>
    <row r="6" customFormat="false" ht="15" hidden="false" customHeight="true" outlineLevel="0" collapsed="false">
      <c r="A6" s="26" t="s">
        <v>445</v>
      </c>
      <c r="B6" s="27" t="n">
        <v>1000</v>
      </c>
      <c r="C6" s="26" t="s">
        <v>521</v>
      </c>
    </row>
    <row r="7" customFormat="false" ht="15" hidden="false" customHeight="true" outlineLevel="0" collapsed="false">
      <c r="A7" s="26" t="s">
        <v>522</v>
      </c>
      <c r="B7" s="27" t="n">
        <v>300</v>
      </c>
      <c r="C7" s="26" t="s">
        <v>523</v>
      </c>
    </row>
    <row r="8" customFormat="false" ht="15" hidden="false" customHeight="false" outlineLevel="0" collapsed="false">
      <c r="B8" s="1" t="n">
        <f aca="false">SUM(B5:B7)</f>
        <v>1400</v>
      </c>
    </row>
    <row r="9" customFormat="false" ht="15" hidden="false" customHeight="true" outlineLevel="0" collapsed="false">
      <c r="A9" s="33" t="s">
        <v>524</v>
      </c>
      <c r="B9" s="50"/>
      <c r="C9" s="50"/>
    </row>
    <row r="10" customFormat="false" ht="15" hidden="false" customHeight="true" outlineLevel="0" collapsed="false">
      <c r="A10" s="26" t="s">
        <v>525</v>
      </c>
      <c r="B10" s="27" t="n">
        <f aca="false">'Fixed Costs - Madrid'!B5*2</f>
        <v>4200</v>
      </c>
      <c r="C10" s="26" t="s">
        <v>526</v>
      </c>
    </row>
    <row r="11" customFormat="false" ht="15" hidden="false" customHeight="true" outlineLevel="0" collapsed="false">
      <c r="A11" s="26" t="s">
        <v>527</v>
      </c>
      <c r="B11" s="27" t="n">
        <f aca="false">'Fixed Costs - Madrid'!B5</f>
        <v>2100</v>
      </c>
      <c r="C11" s="26" t="s">
        <v>528</v>
      </c>
    </row>
    <row r="12" customFormat="false" ht="15" hidden="false" customHeight="true" outlineLevel="0" collapsed="false">
      <c r="A12" s="26" t="s">
        <v>529</v>
      </c>
      <c r="B12" s="27" t="n">
        <v>2000</v>
      </c>
      <c r="C12" s="26" t="s">
        <v>530</v>
      </c>
    </row>
    <row r="13" customFormat="false" ht="15" hidden="false" customHeight="true" outlineLevel="0" collapsed="false">
      <c r="A13" s="26" t="s">
        <v>531</v>
      </c>
      <c r="B13" s="27" t="n">
        <v>200</v>
      </c>
      <c r="C13" s="26" t="s">
        <v>532</v>
      </c>
    </row>
    <row r="14" customFormat="false" ht="15" hidden="false" customHeight="true" outlineLevel="0" collapsed="false">
      <c r="A14" s="26" t="s">
        <v>533</v>
      </c>
      <c r="B14" s="27" t="n">
        <v>500</v>
      </c>
      <c r="C14" s="26" t="s">
        <v>534</v>
      </c>
    </row>
    <row r="16" customFormat="false" ht="15" hidden="false" customHeight="true" outlineLevel="0" collapsed="false">
      <c r="A16" s="33" t="s">
        <v>535</v>
      </c>
      <c r="B16" s="50"/>
      <c r="C16" s="50"/>
    </row>
    <row r="17" customFormat="false" ht="15" hidden="false" customHeight="true" outlineLevel="0" collapsed="false">
      <c r="A17" s="26" t="s">
        <v>536</v>
      </c>
      <c r="B17" s="27" t="n">
        <v>500</v>
      </c>
      <c r="C17" s="26" t="s">
        <v>537</v>
      </c>
    </row>
    <row r="18" customFormat="false" ht="15" hidden="false" customHeight="true" outlineLevel="0" collapsed="false">
      <c r="A18" s="26" t="s">
        <v>538</v>
      </c>
      <c r="B18" s="27" t="n">
        <v>200</v>
      </c>
      <c r="C18" s="26" t="s">
        <v>539</v>
      </c>
    </row>
    <row r="19" customFormat="false" ht="15" hidden="false" customHeight="true" outlineLevel="0" collapsed="false">
      <c r="A19" s="26" t="s">
        <v>540</v>
      </c>
      <c r="B19" s="27" t="n">
        <v>500</v>
      </c>
      <c r="C19" s="26" t="s">
        <v>541</v>
      </c>
    </row>
    <row r="20" customFormat="false" ht="15" hidden="false" customHeight="true" outlineLevel="0" collapsed="false">
      <c r="A20" s="26" t="s">
        <v>542</v>
      </c>
      <c r="B20" s="27" t="n">
        <v>500</v>
      </c>
      <c r="C20" s="26" t="s">
        <v>543</v>
      </c>
    </row>
    <row r="21" customFormat="false" ht="15" hidden="false" customHeight="true" outlineLevel="0" collapsed="false">
      <c r="A21" s="26" t="s">
        <v>544</v>
      </c>
      <c r="B21" s="27" t="n">
        <v>600</v>
      </c>
      <c r="C21" s="26" t="s">
        <v>545</v>
      </c>
    </row>
    <row r="23" customFormat="false" ht="15" hidden="false" customHeight="true" outlineLevel="0" collapsed="false">
      <c r="A23" s="33" t="s">
        <v>546</v>
      </c>
      <c r="B23" s="50"/>
      <c r="C23" s="50"/>
    </row>
    <row r="24" customFormat="false" ht="15" hidden="false" customHeight="true" outlineLevel="0" collapsed="false">
      <c r="A24" s="26" t="s">
        <v>547</v>
      </c>
      <c r="B24" s="27" t="n">
        <v>200</v>
      </c>
      <c r="C24" s="26" t="s">
        <v>548</v>
      </c>
    </row>
    <row r="25" customFormat="false" ht="15" hidden="false" customHeight="true" outlineLevel="0" collapsed="false">
      <c r="A25" s="26" t="s">
        <v>549</v>
      </c>
      <c r="B25" s="27" t="n">
        <v>300</v>
      </c>
      <c r="C25" s="26" t="s">
        <v>550</v>
      </c>
    </row>
    <row r="26" customFormat="false" ht="15" hidden="false" customHeight="true" outlineLevel="0" collapsed="false">
      <c r="A26" s="26" t="s">
        <v>551</v>
      </c>
      <c r="B26" s="27" t="n">
        <v>0</v>
      </c>
      <c r="C26" s="26" t="s">
        <v>552</v>
      </c>
    </row>
    <row r="28" customFormat="false" ht="15" hidden="false" customHeight="true" outlineLevel="0" collapsed="false">
      <c r="A28" s="33" t="s">
        <v>553</v>
      </c>
      <c r="B28" s="50"/>
      <c r="C28" s="50"/>
    </row>
    <row r="29" customFormat="false" ht="15" hidden="false" customHeight="true" outlineLevel="0" collapsed="false">
      <c r="A29" s="26" t="s">
        <v>554</v>
      </c>
      <c r="B29" s="27" t="n">
        <v>0</v>
      </c>
      <c r="C29" s="26" t="s">
        <v>555</v>
      </c>
    </row>
    <row r="30" customFormat="false" ht="15" hidden="false" customHeight="true" outlineLevel="0" collapsed="false">
      <c r="A30" s="26" t="s">
        <v>556</v>
      </c>
      <c r="B30" s="27" t="n">
        <v>500</v>
      </c>
      <c r="C30" s="26" t="s">
        <v>557</v>
      </c>
    </row>
    <row r="32" customFormat="false" ht="15" hidden="false" customHeight="true" outlineLevel="0" collapsed="false">
      <c r="A32" s="33" t="s">
        <v>558</v>
      </c>
      <c r="B32" s="50"/>
      <c r="C32" s="50"/>
    </row>
    <row r="33" customFormat="false" ht="15" hidden="false" customHeight="true" outlineLevel="0" collapsed="false">
      <c r="A33" s="26" t="s">
        <v>559</v>
      </c>
      <c r="B33" s="27" t="n">
        <f aca="false">'Fixed Costs - Madrid'!B34*4</f>
        <v>16140</v>
      </c>
      <c r="C33" s="26" t="s">
        <v>560</v>
      </c>
    </row>
    <row r="35" customFormat="false" ht="15" hidden="false" customHeight="true" outlineLevel="0" collapsed="false">
      <c r="A35" s="59" t="s">
        <v>561</v>
      </c>
      <c r="B35" s="60" t="n">
        <f aca="false">SUM(B5:B7,B10:B14,B17:B21,B24:B26,B29:B30,B33)</f>
        <v>29840</v>
      </c>
      <c r="C35" s="44"/>
    </row>
    <row r="37" customFormat="false" ht="15" hidden="false" customHeight="false" outlineLevel="0" collapsed="false">
      <c r="A37" s="61" t="s">
        <v>562</v>
      </c>
    </row>
    <row r="38" customFormat="false" ht="15" hidden="false" customHeight="false" outlineLevel="0" collapsed="false">
      <c r="A38" s="56" t="s">
        <v>563</v>
      </c>
      <c r="B38" s="62" t="n">
        <f aca="false">SUM(B5:B7)</f>
        <v>1400</v>
      </c>
    </row>
    <row r="39" customFormat="false" ht="15" hidden="false" customHeight="false" outlineLevel="0" collapsed="false">
      <c r="A39" s="56" t="s">
        <v>564</v>
      </c>
      <c r="B39" s="62" t="n">
        <f aca="false">SUM(B10:B14)</f>
        <v>9000</v>
      </c>
    </row>
    <row r="40" customFormat="false" ht="15" hidden="false" customHeight="false" outlineLevel="0" collapsed="false">
      <c r="A40" s="56" t="s">
        <v>565</v>
      </c>
      <c r="B40" s="62" t="n">
        <f aca="false">SUM(B17:B21)</f>
        <v>2300</v>
      </c>
    </row>
    <row r="41" customFormat="false" ht="15" hidden="false" customHeight="false" outlineLevel="0" collapsed="false">
      <c r="A41" s="56" t="s">
        <v>566</v>
      </c>
      <c r="B41" s="62" t="n">
        <f aca="false">SUM(B24:B26)</f>
        <v>500</v>
      </c>
    </row>
    <row r="42" customFormat="false" ht="15" hidden="false" customHeight="false" outlineLevel="0" collapsed="false">
      <c r="A42" s="56" t="s">
        <v>567</v>
      </c>
      <c r="B42" s="62" t="n">
        <f aca="false">SUM(B29:B30)</f>
        <v>500</v>
      </c>
    </row>
    <row r="43" customFormat="false" ht="15" hidden="false" customHeight="false" outlineLevel="0" collapsed="false">
      <c r="A43" s="56" t="s">
        <v>568</v>
      </c>
      <c r="B43" s="62" t="n">
        <f aca="false">B33</f>
        <v>16140</v>
      </c>
    </row>
    <row r="44" customFormat="false" ht="15" hidden="false" customHeight="false" outlineLevel="0" collapsed="false">
      <c r="A44" s="63" t="s">
        <v>406</v>
      </c>
      <c r="B44" s="64" t="n">
        <f aca="false">SUM(B38:B43)</f>
        <v>29840</v>
      </c>
    </row>
    <row r="46" customFormat="false" ht="15" hidden="false" customHeight="false" outlineLevel="0" collapsed="false">
      <c r="A46" s="65" t="s">
        <v>569</v>
      </c>
    </row>
    <row r="47" customFormat="false" ht="15" hidden="false" customHeight="false" outlineLevel="0" collapsed="false">
      <c r="A47" s="66" t="s">
        <v>570</v>
      </c>
    </row>
    <row r="48" customFormat="false" ht="15" hidden="false" customHeight="false" outlineLevel="0" collapsed="false">
      <c r="A48" s="66" t="s">
        <v>571</v>
      </c>
    </row>
    <row r="49" customFormat="false" ht="15" hidden="false" customHeight="false" outlineLevel="0" collapsed="false">
      <c r="A49" s="66" t="s">
        <v>572</v>
      </c>
    </row>
    <row r="50" customFormat="false" ht="15" hidden="false" customHeight="false" outlineLevel="0" collapsed="false">
      <c r="A50" s="66" t="s">
        <v>573</v>
      </c>
    </row>
    <row r="51" customFormat="false" ht="15" hidden="false" customHeight="false" outlineLevel="0" collapsed="false">
      <c r="A51" s="66" t="s">
        <v>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37" zoomScaleNormal="137" zoomScalePageLayoutView="100" workbookViewId="0">
      <selection pane="topLeft" activeCell="A1" activeCellId="0" sqref="A1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9.99"/>
    <col collapsed="false" customWidth="true" hidden="false" outlineLevel="0" max="3" min="3" style="1" width="60"/>
  </cols>
  <sheetData>
    <row r="1" customFormat="false" ht="15" hidden="false" customHeight="true" outlineLevel="0" collapsed="false">
      <c r="A1" s="5" t="s">
        <v>575</v>
      </c>
    </row>
    <row r="3" customFormat="false" ht="15" hidden="false" customHeight="true" outlineLevel="0" collapsed="false">
      <c r="A3" s="23" t="s">
        <v>576</v>
      </c>
      <c r="B3" s="23" t="s">
        <v>577</v>
      </c>
      <c r="C3" s="23" t="s">
        <v>578</v>
      </c>
    </row>
    <row r="4" customFormat="false" ht="15" hidden="false" customHeight="true" outlineLevel="0" collapsed="false">
      <c r="A4" s="26" t="s">
        <v>579</v>
      </c>
      <c r="B4" s="26" t="s">
        <v>580</v>
      </c>
      <c r="C4" s="26" t="s">
        <v>581</v>
      </c>
    </row>
    <row r="5" customFormat="false" ht="15" hidden="false" customHeight="true" outlineLevel="0" collapsed="false">
      <c r="A5" s="26" t="s">
        <v>582</v>
      </c>
      <c r="B5" s="26" t="s">
        <v>583</v>
      </c>
      <c r="C5" s="26" t="s">
        <v>584</v>
      </c>
    </row>
    <row r="6" customFormat="false" ht="15" hidden="false" customHeight="true" outlineLevel="0" collapsed="false">
      <c r="A6" s="26" t="s">
        <v>585</v>
      </c>
      <c r="B6" s="26" t="s">
        <v>586</v>
      </c>
      <c r="C6" s="26" t="s">
        <v>587</v>
      </c>
    </row>
    <row r="7" customFormat="false" ht="15" hidden="false" customHeight="true" outlineLevel="0" collapsed="false">
      <c r="A7" s="26" t="s">
        <v>588</v>
      </c>
      <c r="B7" s="26" t="s">
        <v>589</v>
      </c>
      <c r="C7" s="26" t="s">
        <v>590</v>
      </c>
    </row>
    <row r="8" customFormat="false" ht="15" hidden="false" customHeight="true" outlineLevel="0" collapsed="false">
      <c r="A8" s="26" t="s">
        <v>591</v>
      </c>
      <c r="B8" s="26" t="s">
        <v>592</v>
      </c>
      <c r="C8" s="26" t="s">
        <v>593</v>
      </c>
    </row>
    <row r="9" customFormat="false" ht="15" hidden="false" customHeight="true" outlineLevel="0" collapsed="false">
      <c r="A9" s="26" t="s">
        <v>594</v>
      </c>
      <c r="B9" s="26" t="s">
        <v>595</v>
      </c>
      <c r="C9" s="26" t="s">
        <v>596</v>
      </c>
    </row>
    <row r="10" customFormat="false" ht="15" hidden="false" customHeight="true" outlineLevel="0" collapsed="false">
      <c r="A10" s="26" t="s">
        <v>597</v>
      </c>
      <c r="B10" s="26" t="s">
        <v>598</v>
      </c>
      <c r="C10" s="26" t="s">
        <v>599</v>
      </c>
    </row>
    <row r="11" customFormat="false" ht="15" hidden="false" customHeight="true" outlineLevel="0" collapsed="false">
      <c r="A11" s="26" t="s">
        <v>600</v>
      </c>
      <c r="B11" s="26" t="s">
        <v>601</v>
      </c>
      <c r="C11" s="26" t="s">
        <v>602</v>
      </c>
    </row>
    <row r="12" customFormat="false" ht="15" hidden="false" customHeight="true" outlineLevel="0" collapsed="false">
      <c r="A12" s="26" t="s">
        <v>603</v>
      </c>
      <c r="B12" s="26" t="s">
        <v>604</v>
      </c>
      <c r="C12" s="26" t="s">
        <v>605</v>
      </c>
    </row>
    <row r="13" customFormat="false" ht="15" hidden="false" customHeight="true" outlineLevel="0" collapsed="false">
      <c r="A13" s="26" t="s">
        <v>606</v>
      </c>
      <c r="B13" s="26" t="s">
        <v>604</v>
      </c>
      <c r="C13" s="26" t="s">
        <v>607</v>
      </c>
    </row>
    <row r="14" customFormat="false" ht="15" hidden="false" customHeight="true" outlineLevel="0" collapsed="false">
      <c r="A14" s="26" t="s">
        <v>608</v>
      </c>
      <c r="B14" s="26" t="s">
        <v>508</v>
      </c>
      <c r="C14" s="26" t="s">
        <v>609</v>
      </c>
    </row>
    <row r="15" customFormat="false" ht="15" hidden="false" customHeight="true" outlineLevel="0" collapsed="false">
      <c r="A15" s="26" t="s">
        <v>610</v>
      </c>
      <c r="B15" s="26" t="s">
        <v>611</v>
      </c>
      <c r="C15" s="26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0.99"/>
    <col collapsed="false" customWidth="true" hidden="false" outlineLevel="0" max="14" min="14" style="0" width="14.01"/>
  </cols>
  <sheetData>
    <row r="1" customFormat="false" ht="15" hidden="false" customHeight="false" outlineLevel="0" collapsed="false">
      <c r="A1" s="67" t="s">
        <v>613</v>
      </c>
    </row>
    <row r="2" customFormat="false" ht="15" hidden="false" customHeight="false" outlineLevel="0" collapsed="false">
      <c r="A2" s="68" t="s">
        <v>614</v>
      </c>
    </row>
    <row r="4" customFormat="false" ht="30" hidden="false" customHeight="true" outlineLevel="0" collapsed="false">
      <c r="A4" s="7" t="s">
        <v>463</v>
      </c>
      <c r="B4" s="7" t="s">
        <v>615</v>
      </c>
      <c r="C4" s="7" t="s">
        <v>616</v>
      </c>
      <c r="D4" s="7" t="s">
        <v>617</v>
      </c>
      <c r="E4" s="7" t="s">
        <v>618</v>
      </c>
      <c r="F4" s="7" t="s">
        <v>619</v>
      </c>
      <c r="G4" s="7" t="s">
        <v>620</v>
      </c>
      <c r="H4" s="7" t="s">
        <v>621</v>
      </c>
      <c r="I4" s="7" t="s">
        <v>622</v>
      </c>
      <c r="J4" s="7" t="s">
        <v>623</v>
      </c>
      <c r="K4" s="7" t="s">
        <v>624</v>
      </c>
      <c r="L4" s="7" t="s">
        <v>625</v>
      </c>
      <c r="M4" s="7" t="s">
        <v>626</v>
      </c>
      <c r="N4" s="7" t="s">
        <v>627</v>
      </c>
    </row>
    <row r="5" customFormat="false" ht="15" hidden="false" customHeight="false" outlineLevel="0" collapsed="false">
      <c r="A5" s="69" t="s">
        <v>15</v>
      </c>
      <c r="B5" s="70" t="n">
        <v>35</v>
      </c>
      <c r="C5" s="70" t="n">
        <v>55</v>
      </c>
      <c r="D5" s="70" t="n">
        <v>75</v>
      </c>
      <c r="E5" s="70" t="n">
        <v>90</v>
      </c>
      <c r="F5" s="70" t="n">
        <v>100</v>
      </c>
      <c r="G5" s="70" t="n">
        <v>115</v>
      </c>
      <c r="H5" s="70" t="n">
        <v>140</v>
      </c>
      <c r="I5" s="70" t="n">
        <v>125</v>
      </c>
      <c r="J5" s="70" t="n">
        <v>95</v>
      </c>
      <c r="K5" s="70" t="n">
        <v>110</v>
      </c>
      <c r="L5" s="70" t="n">
        <v>150</v>
      </c>
      <c r="M5" s="70" t="n">
        <v>185</v>
      </c>
      <c r="N5" s="71" t="n">
        <f aca="false">SUM(B5:M5)</f>
        <v>1275</v>
      </c>
    </row>
    <row r="6" customFormat="false" ht="15" hidden="false" customHeight="false" outlineLevel="0" collapsed="false">
      <c r="A6" s="56" t="s">
        <v>628</v>
      </c>
      <c r="B6" s="72" t="n">
        <f aca="false">B5/26</f>
        <v>1.34615384615385</v>
      </c>
      <c r="C6" s="72" t="n">
        <f aca="false">C5/26</f>
        <v>2.11538461538462</v>
      </c>
      <c r="D6" s="72" t="n">
        <f aca="false">D5/26</f>
        <v>2.88461538461538</v>
      </c>
      <c r="E6" s="72" t="n">
        <f aca="false">E5/26</f>
        <v>3.46153846153846</v>
      </c>
      <c r="F6" s="72" t="n">
        <f aca="false">F5/26</f>
        <v>3.84615384615385</v>
      </c>
      <c r="G6" s="72" t="n">
        <f aca="false">G5/26</f>
        <v>4.42307692307692</v>
      </c>
      <c r="H6" s="72" t="n">
        <f aca="false">H5/26</f>
        <v>5.38461538461539</v>
      </c>
      <c r="I6" s="72" t="n">
        <f aca="false">I5/26</f>
        <v>4.80769230769231</v>
      </c>
      <c r="J6" s="72" t="n">
        <f aca="false">J5/26</f>
        <v>3.65384615384615</v>
      </c>
      <c r="K6" s="72" t="n">
        <f aca="false">K5/26</f>
        <v>4.23076923076923</v>
      </c>
      <c r="L6" s="72" t="n">
        <f aca="false">L5/26</f>
        <v>5.76923076923077</v>
      </c>
      <c r="M6" s="72" t="n">
        <f aca="false">M5/26</f>
        <v>7.11538461538462</v>
      </c>
      <c r="N6" s="72" t="n">
        <f aca="false">N5/(26*12)</f>
        <v>4.08653846153846</v>
      </c>
    </row>
    <row r="7" customFormat="false" ht="15" hidden="false" customHeight="false" outlineLevel="0" collapsed="false">
      <c r="A7" s="56" t="s">
        <v>629</v>
      </c>
      <c r="B7" s="62" t="n">
        <v>80</v>
      </c>
      <c r="C7" s="62" t="n">
        <v>81</v>
      </c>
      <c r="D7" s="62" t="n">
        <v>82</v>
      </c>
      <c r="E7" s="62" t="n">
        <v>83</v>
      </c>
      <c r="F7" s="62" t="n">
        <v>84</v>
      </c>
      <c r="G7" s="62" t="n">
        <v>85</v>
      </c>
      <c r="H7" s="62" t="n">
        <v>86</v>
      </c>
      <c r="I7" s="62" t="n">
        <v>87</v>
      </c>
      <c r="J7" s="62" t="n">
        <v>88</v>
      </c>
      <c r="K7" s="62" t="n">
        <v>89</v>
      </c>
      <c r="L7" s="62" t="n">
        <v>90</v>
      </c>
      <c r="M7" s="62" t="n">
        <v>91</v>
      </c>
      <c r="N7" s="62" t="n">
        <v>92</v>
      </c>
    </row>
    <row r="9" customFormat="false" ht="15" hidden="false" customHeight="false" outlineLevel="0" collapsed="false">
      <c r="A9" s="73" t="s">
        <v>630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</row>
    <row r="10" customFormat="false" ht="15" hidden="false" customHeight="false" outlineLevel="0" collapsed="false">
      <c r="A10" s="75" t="s">
        <v>91</v>
      </c>
      <c r="B10" s="76" t="n">
        <f aca="false">B5*B7</f>
        <v>2800</v>
      </c>
      <c r="C10" s="76" t="n">
        <f aca="false">C5*C7</f>
        <v>4455</v>
      </c>
      <c r="D10" s="76" t="n">
        <f aca="false">D5*D7</f>
        <v>6150</v>
      </c>
      <c r="E10" s="76" t="n">
        <f aca="false">E5*E7</f>
        <v>7470</v>
      </c>
      <c r="F10" s="76" t="n">
        <f aca="false">F5*F7</f>
        <v>8400</v>
      </c>
      <c r="G10" s="76" t="n">
        <f aca="false">G5*G7</f>
        <v>9775</v>
      </c>
      <c r="H10" s="76" t="n">
        <f aca="false">H5*H7</f>
        <v>12040</v>
      </c>
      <c r="I10" s="76" t="n">
        <f aca="false">I5*I7</f>
        <v>10875</v>
      </c>
      <c r="J10" s="76" t="n">
        <f aca="false">J5*J7</f>
        <v>8360</v>
      </c>
      <c r="K10" s="76" t="n">
        <f aca="false">K5*K7</f>
        <v>9790</v>
      </c>
      <c r="L10" s="76" t="n">
        <f aca="false">L5*L7</f>
        <v>13500</v>
      </c>
      <c r="M10" s="76" t="n">
        <f aca="false">M5*M7</f>
        <v>16835</v>
      </c>
      <c r="N10" s="77" t="n">
        <f aca="false">SUM(B10:M10)</f>
        <v>110450</v>
      </c>
    </row>
    <row r="12" customFormat="false" ht="15" hidden="false" customHeight="false" outlineLevel="0" collapsed="false">
      <c r="A12" s="73" t="s">
        <v>631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</row>
    <row r="13" customFormat="false" ht="15" hidden="false" customHeight="false" outlineLevel="0" collapsed="false">
      <c r="A13" s="56" t="s">
        <v>632</v>
      </c>
      <c r="B13" s="62" t="n">
        <f aca="false">B10/4.5</f>
        <v>622.222222222222</v>
      </c>
      <c r="C13" s="62" t="n">
        <f aca="false">C10/4.5</f>
        <v>990</v>
      </c>
      <c r="D13" s="62" t="n">
        <f aca="false">D10/4.5</f>
        <v>1366.66666666667</v>
      </c>
      <c r="E13" s="62" t="n">
        <f aca="false">E10/4.5</f>
        <v>1660</v>
      </c>
      <c r="F13" s="62" t="n">
        <f aca="false">F10/4.5</f>
        <v>1866.66666666667</v>
      </c>
      <c r="G13" s="62" t="n">
        <f aca="false">G10/4.5</f>
        <v>2172.22222222222</v>
      </c>
      <c r="H13" s="62" t="n">
        <f aca="false">H10/4.5</f>
        <v>2675.55555555556</v>
      </c>
      <c r="I13" s="62" t="n">
        <f aca="false">I10/4.5</f>
        <v>2416.66666666667</v>
      </c>
      <c r="J13" s="62" t="n">
        <f aca="false">J10/4.5</f>
        <v>1857.77777777778</v>
      </c>
      <c r="K13" s="62" t="n">
        <f aca="false">K10/4.5</f>
        <v>2175.55555555556</v>
      </c>
      <c r="L13" s="62" t="n">
        <f aca="false">L10/4.5</f>
        <v>3000</v>
      </c>
      <c r="M13" s="62" t="n">
        <f aca="false">M10/4.5</f>
        <v>3741.11111111111</v>
      </c>
      <c r="N13" s="78" t="n">
        <f aca="false">SUM(B13:M13)</f>
        <v>24544.4444444444</v>
      </c>
    </row>
    <row r="14" customFormat="false" ht="15" hidden="false" customHeight="false" outlineLevel="0" collapsed="false">
      <c r="A14" s="56" t="s">
        <v>633</v>
      </c>
      <c r="B14" s="62" t="n">
        <f aca="false">B10*0.08</f>
        <v>224</v>
      </c>
      <c r="C14" s="62" t="n">
        <f aca="false">C10*0.08</f>
        <v>356.4</v>
      </c>
      <c r="D14" s="62" t="n">
        <f aca="false">D10*0.08</f>
        <v>492</v>
      </c>
      <c r="E14" s="62" t="n">
        <f aca="false">E10*0.08</f>
        <v>597.6</v>
      </c>
      <c r="F14" s="62" t="n">
        <f aca="false">F10*0.08</f>
        <v>672</v>
      </c>
      <c r="G14" s="62" t="n">
        <f aca="false">G10*0.08</f>
        <v>782</v>
      </c>
      <c r="H14" s="62" t="n">
        <f aca="false">H10*0.08</f>
        <v>963.2</v>
      </c>
      <c r="I14" s="62" t="n">
        <f aca="false">I10*0.08</f>
        <v>870</v>
      </c>
      <c r="J14" s="62" t="n">
        <f aca="false">J10*0.08</f>
        <v>668.8</v>
      </c>
      <c r="K14" s="62" t="n">
        <f aca="false">K10*0.08</f>
        <v>783.2</v>
      </c>
      <c r="L14" s="62" t="n">
        <f aca="false">L10*0.08</f>
        <v>1080</v>
      </c>
      <c r="M14" s="62" t="n">
        <f aca="false">M10*0.08</f>
        <v>1346.8</v>
      </c>
      <c r="N14" s="78" t="n">
        <f aca="false">SUM(B14:M14)</f>
        <v>8836</v>
      </c>
    </row>
    <row r="15" customFormat="false" ht="15" hidden="false" customHeight="false" outlineLevel="0" collapsed="false">
      <c r="A15" s="56" t="s">
        <v>634</v>
      </c>
      <c r="B15" s="62" t="n">
        <f aca="false">B13*0.02</f>
        <v>12.4444444444444</v>
      </c>
      <c r="C15" s="62" t="n">
        <f aca="false">C13*0.02</f>
        <v>19.8</v>
      </c>
      <c r="D15" s="62" t="n">
        <f aca="false">D13*0.02</f>
        <v>27.3333333333333</v>
      </c>
      <c r="E15" s="62" t="n">
        <f aca="false">E13*0.02</f>
        <v>33.2</v>
      </c>
      <c r="F15" s="62" t="n">
        <f aca="false">F13*0.02</f>
        <v>37.3333333333333</v>
      </c>
      <c r="G15" s="62" t="n">
        <f aca="false">G13*0.02</f>
        <v>43.4444444444444</v>
      </c>
      <c r="H15" s="62" t="n">
        <f aca="false">H13*0.02</f>
        <v>53.5111111111111</v>
      </c>
      <c r="I15" s="62" t="n">
        <f aca="false">I13*0.02</f>
        <v>48.3333333333333</v>
      </c>
      <c r="J15" s="62" t="n">
        <f aca="false">J13*0.02</f>
        <v>37.1555555555556</v>
      </c>
      <c r="K15" s="62" t="n">
        <f aca="false">K13*0.02</f>
        <v>43.5111111111111</v>
      </c>
      <c r="L15" s="62" t="n">
        <f aca="false">L13*0.02</f>
        <v>60</v>
      </c>
      <c r="M15" s="62" t="n">
        <f aca="false">M13*0.02</f>
        <v>74.8222222222222</v>
      </c>
      <c r="N15" s="78" t="n">
        <f aca="false">SUM(B15:M15)</f>
        <v>490.888888888889</v>
      </c>
    </row>
    <row r="16" customFormat="false" ht="15" hidden="false" customHeight="false" outlineLevel="0" collapsed="false">
      <c r="A16" s="56" t="s">
        <v>635</v>
      </c>
      <c r="B16" s="62" t="n">
        <f aca="false">B10*0.015</f>
        <v>42</v>
      </c>
      <c r="C16" s="62" t="n">
        <f aca="false">C10*0.015</f>
        <v>66.825</v>
      </c>
      <c r="D16" s="62" t="n">
        <f aca="false">D10*0.015</f>
        <v>92.25</v>
      </c>
      <c r="E16" s="62" t="n">
        <f aca="false">E10*0.015</f>
        <v>112.05</v>
      </c>
      <c r="F16" s="62" t="n">
        <f aca="false">F10*0.015</f>
        <v>126</v>
      </c>
      <c r="G16" s="62" t="n">
        <f aca="false">G10*0.015</f>
        <v>146.625</v>
      </c>
      <c r="H16" s="62" t="n">
        <f aca="false">H10*0.015</f>
        <v>180.6</v>
      </c>
      <c r="I16" s="62" t="n">
        <f aca="false">I10*0.015</f>
        <v>163.125</v>
      </c>
      <c r="J16" s="62" t="n">
        <f aca="false">J10*0.015</f>
        <v>125.4</v>
      </c>
      <c r="K16" s="62" t="n">
        <f aca="false">K10*0.015</f>
        <v>146.85</v>
      </c>
      <c r="L16" s="62" t="n">
        <f aca="false">L10*0.015</f>
        <v>202.5</v>
      </c>
      <c r="M16" s="62" t="n">
        <f aca="false">M10*0.015</f>
        <v>252.525</v>
      </c>
      <c r="N16" s="78" t="n">
        <f aca="false">SUM(B16:M16)</f>
        <v>1656.75</v>
      </c>
    </row>
    <row r="17" customFormat="false" ht="15" hidden="false" customHeight="false" outlineLevel="0" collapsed="false">
      <c r="A17" s="79" t="s">
        <v>636</v>
      </c>
      <c r="B17" s="78" t="n">
        <f aca="false">SUM(B13:B16)</f>
        <v>900.666666666667</v>
      </c>
      <c r="C17" s="78" t="n">
        <f aca="false">SUM(C13:C16)</f>
        <v>1433.025</v>
      </c>
      <c r="D17" s="78" t="n">
        <f aca="false">SUM(D13:D16)</f>
        <v>1978.25</v>
      </c>
      <c r="E17" s="78" t="n">
        <f aca="false">SUM(E13:E16)</f>
        <v>2402.85</v>
      </c>
      <c r="F17" s="78" t="n">
        <f aca="false">SUM(F13:F16)</f>
        <v>2702</v>
      </c>
      <c r="G17" s="78" t="n">
        <f aca="false">SUM(G13:G16)</f>
        <v>3144.29166666667</v>
      </c>
      <c r="H17" s="78" t="n">
        <f aca="false">SUM(H13:H16)</f>
        <v>3872.86666666667</v>
      </c>
      <c r="I17" s="78" t="n">
        <f aca="false">SUM(I13:I16)</f>
        <v>3498.125</v>
      </c>
      <c r="J17" s="78" t="n">
        <f aca="false">SUM(J13:J16)</f>
        <v>2689.13333333333</v>
      </c>
      <c r="K17" s="78" t="n">
        <f aca="false">SUM(K13:K16)</f>
        <v>3149.11666666667</v>
      </c>
      <c r="L17" s="78" t="n">
        <f aca="false">SUM(L13:L16)</f>
        <v>4342.5</v>
      </c>
      <c r="M17" s="78" t="n">
        <f aca="false">SUM(M13:M16)</f>
        <v>5415.25833333333</v>
      </c>
      <c r="N17" s="78" t="n">
        <f aca="false">SUM(B17:M17)</f>
        <v>35528.0833333333</v>
      </c>
    </row>
    <row r="19" customFormat="false" ht="15" hidden="false" customHeight="false" outlineLevel="0" collapsed="false">
      <c r="A19" s="69" t="s">
        <v>47</v>
      </c>
      <c r="B19" s="80" t="n">
        <f aca="false">B10-B17</f>
        <v>1899.33333333333</v>
      </c>
      <c r="C19" s="80" t="n">
        <f aca="false">C10-C17</f>
        <v>3021.975</v>
      </c>
      <c r="D19" s="80" t="n">
        <f aca="false">D10-D17</f>
        <v>4171.75</v>
      </c>
      <c r="E19" s="80" t="n">
        <f aca="false">E10-E17</f>
        <v>5067.15</v>
      </c>
      <c r="F19" s="80" t="n">
        <f aca="false">F10-F17</f>
        <v>5698</v>
      </c>
      <c r="G19" s="80" t="n">
        <f aca="false">G10-G17</f>
        <v>6630.70833333333</v>
      </c>
      <c r="H19" s="80" t="n">
        <f aca="false">H10-H17</f>
        <v>8167.13333333333</v>
      </c>
      <c r="I19" s="80" t="n">
        <f aca="false">I10-I17</f>
        <v>7376.875</v>
      </c>
      <c r="J19" s="80" t="n">
        <f aca="false">J10-J17</f>
        <v>5670.86666666667</v>
      </c>
      <c r="K19" s="80" t="n">
        <f aca="false">K10-K17</f>
        <v>6640.88333333333</v>
      </c>
      <c r="L19" s="80" t="n">
        <f aca="false">L10-L17</f>
        <v>9157.5</v>
      </c>
      <c r="M19" s="80" t="n">
        <f aca="false">M10-M17</f>
        <v>11419.7416666667</v>
      </c>
      <c r="N19" s="80" t="n">
        <f aca="false">SUM(B19:M19)</f>
        <v>74921.9166666667</v>
      </c>
    </row>
    <row r="20" customFormat="false" ht="15" hidden="false" customHeight="false" outlineLevel="0" collapsed="false">
      <c r="A20" s="56" t="s">
        <v>18</v>
      </c>
      <c r="B20" s="58" t="n">
        <f aca="false">B19/B10</f>
        <v>0.678333333333333</v>
      </c>
      <c r="C20" s="58" t="n">
        <f aca="false">C19/C10</f>
        <v>0.678333333333333</v>
      </c>
      <c r="D20" s="58" t="n">
        <f aca="false">D19/D10</f>
        <v>0.678333333333333</v>
      </c>
      <c r="E20" s="58" t="n">
        <f aca="false">E19/E10</f>
        <v>0.678333333333333</v>
      </c>
      <c r="F20" s="58" t="n">
        <f aca="false">F19/F10</f>
        <v>0.678333333333333</v>
      </c>
      <c r="G20" s="58" t="n">
        <f aca="false">G19/G10</f>
        <v>0.678333333333333</v>
      </c>
      <c r="H20" s="58" t="n">
        <f aca="false">H19/H10</f>
        <v>0.678333333333333</v>
      </c>
      <c r="I20" s="58" t="n">
        <f aca="false">I19/I10</f>
        <v>0.678333333333333</v>
      </c>
      <c r="J20" s="58" t="n">
        <f aca="false">J19/J10</f>
        <v>0.678333333333333</v>
      </c>
      <c r="K20" s="58" t="n">
        <f aca="false">K19/K10</f>
        <v>0.678333333333333</v>
      </c>
      <c r="L20" s="58" t="n">
        <f aca="false">L19/L10</f>
        <v>0.678333333333333</v>
      </c>
      <c r="M20" s="58" t="n">
        <f aca="false">M19/M10</f>
        <v>0.678333333333333</v>
      </c>
      <c r="N20" s="58" t="n">
        <f aca="false">N19/N10</f>
        <v>0.678333333333333</v>
      </c>
    </row>
    <row r="22" customFormat="false" ht="15" hidden="false" customHeight="false" outlineLevel="0" collapsed="false">
      <c r="A22" s="73" t="s">
        <v>637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  <row r="23" customFormat="false" ht="15" hidden="false" customHeight="false" outlineLevel="0" collapsed="false">
      <c r="A23" s="56" t="s">
        <v>638</v>
      </c>
      <c r="B23" s="62" t="n">
        <f aca="false">'Fixed Costs - Madrid'!B34</f>
        <v>4035</v>
      </c>
      <c r="C23" s="62" t="n">
        <f aca="false">'Fixed Costs - Madrid'!B34</f>
        <v>4035</v>
      </c>
      <c r="D23" s="62" t="n">
        <f aca="false">'Fixed Costs - Madrid'!B34</f>
        <v>4035</v>
      </c>
      <c r="E23" s="62" t="n">
        <f aca="false">'Fixed Costs - Madrid'!B34</f>
        <v>4035</v>
      </c>
      <c r="F23" s="62" t="n">
        <f aca="false">'Fixed Costs - Madrid'!B34</f>
        <v>4035</v>
      </c>
      <c r="G23" s="62" t="n">
        <f aca="false">'Fixed Costs - Madrid'!B34</f>
        <v>4035</v>
      </c>
      <c r="H23" s="62" t="n">
        <f aca="false">'Fixed Costs - Madrid'!B34</f>
        <v>4035</v>
      </c>
      <c r="I23" s="62" t="n">
        <f aca="false">'Fixed Costs - Madrid'!B34</f>
        <v>4035</v>
      </c>
      <c r="J23" s="62" t="n">
        <f aca="false">'Fixed Costs - Madrid'!B34</f>
        <v>4035</v>
      </c>
      <c r="K23" s="62" t="n">
        <f aca="false">'Fixed Costs - Madrid'!B34</f>
        <v>4035</v>
      </c>
      <c r="L23" s="62" t="n">
        <f aca="false">'Fixed Costs - Madrid'!B34</f>
        <v>4035</v>
      </c>
      <c r="M23" s="62" t="n">
        <f aca="false">'Fixed Costs - Madrid'!B34</f>
        <v>4035</v>
      </c>
      <c r="N23" s="78" t="n">
        <f aca="false">'Fixed Costs - Madrid'!B34*12</f>
        <v>48420</v>
      </c>
    </row>
    <row r="24" customFormat="false" ht="15" hidden="false" customHeight="false" outlineLevel="0" collapsed="false">
      <c r="A24" s="56" t="s">
        <v>639</v>
      </c>
      <c r="B24" s="62" t="n">
        <v>800</v>
      </c>
      <c r="C24" s="62" t="n">
        <v>500</v>
      </c>
      <c r="D24" s="62" t="n">
        <v>400</v>
      </c>
      <c r="E24" s="62" t="n">
        <v>400</v>
      </c>
      <c r="F24" s="62" t="n">
        <v>400</v>
      </c>
      <c r="G24" s="62" t="n">
        <v>400</v>
      </c>
      <c r="H24" s="62" t="n">
        <v>400</v>
      </c>
      <c r="I24" s="62" t="n">
        <v>300</v>
      </c>
      <c r="J24" s="62" t="n">
        <v>400</v>
      </c>
      <c r="K24" s="62" t="n">
        <v>500</v>
      </c>
      <c r="L24" s="62" t="n">
        <v>800</v>
      </c>
      <c r="M24" s="62" t="n">
        <v>1000</v>
      </c>
      <c r="N24" s="78" t="n">
        <v>6300</v>
      </c>
    </row>
    <row r="25" customFormat="false" ht="15" hidden="false" customHeight="false" outlineLevel="0" collapsed="false">
      <c r="A25" s="79" t="s">
        <v>640</v>
      </c>
      <c r="B25" s="78" t="n">
        <f aca="false">B23+B24</f>
        <v>4835</v>
      </c>
      <c r="C25" s="78" t="n">
        <f aca="false">C23+C24</f>
        <v>4535</v>
      </c>
      <c r="D25" s="78" t="n">
        <f aca="false">D23+D24</f>
        <v>4435</v>
      </c>
      <c r="E25" s="78" t="n">
        <f aca="false">E23+E24</f>
        <v>4435</v>
      </c>
      <c r="F25" s="78" t="n">
        <f aca="false">F23+F24</f>
        <v>4435</v>
      </c>
      <c r="G25" s="78" t="n">
        <f aca="false">G23+G24</f>
        <v>4435</v>
      </c>
      <c r="H25" s="78" t="n">
        <f aca="false">H23+H24</f>
        <v>4435</v>
      </c>
      <c r="I25" s="78" t="n">
        <f aca="false">I23+I24</f>
        <v>4335</v>
      </c>
      <c r="J25" s="78" t="n">
        <f aca="false">J23+J24</f>
        <v>4435</v>
      </c>
      <c r="K25" s="78" t="n">
        <f aca="false">K23+K24</f>
        <v>4535</v>
      </c>
      <c r="L25" s="78" t="n">
        <f aca="false">L23+L24</f>
        <v>4835</v>
      </c>
      <c r="M25" s="78" t="n">
        <f aca="false">M23+M24</f>
        <v>5035</v>
      </c>
      <c r="N25" s="78" t="n">
        <f aca="false">SUM(B25:M25)</f>
        <v>54720</v>
      </c>
    </row>
    <row r="27" customFormat="false" ht="15" hidden="false" customHeight="false" outlineLevel="0" collapsed="false">
      <c r="A27" s="79" t="s">
        <v>641</v>
      </c>
      <c r="B27" s="81" t="n">
        <f aca="false">B19-B25</f>
        <v>-2935.66666666667</v>
      </c>
      <c r="C27" s="81" t="n">
        <f aca="false">C19-C25</f>
        <v>-1513.025</v>
      </c>
      <c r="D27" s="76" t="n">
        <f aca="false">D19-D25</f>
        <v>-263.25</v>
      </c>
      <c r="E27" s="82" t="n">
        <f aca="false">E19-E25</f>
        <v>632.15</v>
      </c>
      <c r="F27" s="82" t="n">
        <f aca="false">F19-F25</f>
        <v>1263</v>
      </c>
      <c r="G27" s="82" t="n">
        <f aca="false">G19-G25</f>
        <v>2195.70833333333</v>
      </c>
      <c r="H27" s="82" t="n">
        <f aca="false">H19-H25</f>
        <v>3732.13333333333</v>
      </c>
      <c r="I27" s="82" t="n">
        <f aca="false">I19-I25</f>
        <v>3041.875</v>
      </c>
      <c r="J27" s="82" t="n">
        <f aca="false">J19-J25</f>
        <v>1235.86666666667</v>
      </c>
      <c r="K27" s="82" t="n">
        <f aca="false">K19-K25</f>
        <v>2105.88333333333</v>
      </c>
      <c r="L27" s="82" t="n">
        <f aca="false">L19-L25</f>
        <v>4322.5</v>
      </c>
      <c r="M27" s="82" t="n">
        <f aca="false">M19-M25</f>
        <v>6384.74166666667</v>
      </c>
      <c r="N27" s="83" t="n">
        <f aca="false">SUM(B27:M27)</f>
        <v>20201.9166666667</v>
      </c>
    </row>
    <row r="28" customFormat="false" ht="15" hidden="false" customHeight="false" outlineLevel="0" collapsed="false">
      <c r="A28" s="56" t="s">
        <v>22</v>
      </c>
      <c r="B28" s="58" t="n">
        <f aca="false">B27/B10</f>
        <v>-1.04845238095238</v>
      </c>
      <c r="C28" s="58" t="n">
        <f aca="false">C27/C10</f>
        <v>-0.339624017957351</v>
      </c>
      <c r="D28" s="58" t="n">
        <f aca="false">D27/D10</f>
        <v>-0.0428048780487805</v>
      </c>
      <c r="E28" s="58" t="n">
        <f aca="false">E27/E10</f>
        <v>0.0846251673360107</v>
      </c>
      <c r="F28" s="58" t="n">
        <f aca="false">F27/F10</f>
        <v>0.150357142857143</v>
      </c>
      <c r="G28" s="58" t="n">
        <f aca="false">G27/G10</f>
        <v>0.224624893435635</v>
      </c>
      <c r="H28" s="58" t="n">
        <f aca="false">H27/H10</f>
        <v>0.309977851605759</v>
      </c>
      <c r="I28" s="58" t="n">
        <f aca="false">I27/I10</f>
        <v>0.279712643678161</v>
      </c>
      <c r="J28" s="58" t="n">
        <f aca="false">J27/J10</f>
        <v>0.147830940988836</v>
      </c>
      <c r="K28" s="58" t="n">
        <f aca="false">K27/K10</f>
        <v>0.215105549880831</v>
      </c>
      <c r="L28" s="58" t="n">
        <f aca="false">L27/L10</f>
        <v>0.320185185185185</v>
      </c>
      <c r="M28" s="58" t="n">
        <f aca="false">M27/M10</f>
        <v>0.379254034254034</v>
      </c>
      <c r="N28" s="58" t="n">
        <f aca="false">N27/N10</f>
        <v>0.182905537950807</v>
      </c>
    </row>
    <row r="30" customFormat="false" ht="15" hidden="false" customHeight="false" outlineLevel="0" collapsed="false">
      <c r="A30" s="79" t="s">
        <v>642</v>
      </c>
      <c r="B30" s="78" t="n">
        <f aca="false">B27</f>
        <v>-2935.66666666667</v>
      </c>
      <c r="C30" s="78" t="n">
        <f aca="false">B30+C27</f>
        <v>-4448.69166666667</v>
      </c>
      <c r="D30" s="78" t="n">
        <f aca="false">C30+D27</f>
        <v>-4711.94166666667</v>
      </c>
      <c r="E30" s="78" t="n">
        <f aca="false">D30+E27</f>
        <v>-4079.79166666667</v>
      </c>
      <c r="F30" s="78" t="n">
        <f aca="false">E30+F27</f>
        <v>-2816.79166666667</v>
      </c>
      <c r="G30" s="78" t="n">
        <f aca="false">F30+G27</f>
        <v>-621.083333333333</v>
      </c>
      <c r="H30" s="78" t="n">
        <f aca="false">G30+H27</f>
        <v>3111.05</v>
      </c>
      <c r="I30" s="78" t="n">
        <f aca="false">H30+I27</f>
        <v>6152.925</v>
      </c>
      <c r="J30" s="78" t="n">
        <f aca="false">I30+J27</f>
        <v>7388.79166666667</v>
      </c>
      <c r="K30" s="78" t="n">
        <f aca="false">J30+K27</f>
        <v>9494.675</v>
      </c>
      <c r="L30" s="78" t="n">
        <f aca="false">K30+L27</f>
        <v>13817.175</v>
      </c>
      <c r="M30" s="78" t="n">
        <f aca="false">L30+M27</f>
        <v>20201.9166666667</v>
      </c>
      <c r="N30" s="56"/>
    </row>
    <row r="33" customFormat="false" ht="15" hidden="false" customHeight="false" outlineLevel="0" collapsed="false">
      <c r="A33" s="53" t="s">
        <v>643</v>
      </c>
    </row>
    <row r="34" customFormat="false" ht="15" hidden="false" customHeight="false" outlineLevel="0" collapsed="false">
      <c r="A34" s="66" t="s">
        <v>644</v>
      </c>
    </row>
    <row r="35" customFormat="false" ht="15" hidden="false" customHeight="false" outlineLevel="0" collapsed="false">
      <c r="A35" s="66" t="s">
        <v>645</v>
      </c>
    </row>
    <row r="36" customFormat="false" ht="15" hidden="false" customHeight="false" outlineLevel="0" collapsed="false">
      <c r="A36" s="66" t="s">
        <v>646</v>
      </c>
    </row>
    <row r="37" customFormat="false" ht="15" hidden="false" customHeight="false" outlineLevel="0" collapsed="false">
      <c r="A37" s="66" t="s">
        <v>647</v>
      </c>
    </row>
    <row r="38" customFormat="false" ht="15" hidden="false" customHeight="false" outlineLevel="0" collapsed="false">
      <c r="A38" s="66" t="s">
        <v>648</v>
      </c>
    </row>
    <row r="39" customFormat="false" ht="15" hidden="false" customHeight="false" outlineLevel="0" collapsed="false">
      <c r="A39" s="66" t="s">
        <v>649</v>
      </c>
    </row>
    <row r="40" customFormat="false" ht="15" hidden="false" customHeight="false" outlineLevel="0" collapsed="false">
      <c r="A40" s="66" t="s">
        <v>650</v>
      </c>
    </row>
    <row r="41" customFormat="false" ht="15" hidden="false" customHeight="false" outlineLevel="0" collapsed="false">
      <c r="A41" s="66"/>
    </row>
    <row r="42" customFormat="false" ht="15" hidden="false" customHeight="false" outlineLevel="0" collapsed="false">
      <c r="A42" s="65" t="s">
        <v>651</v>
      </c>
    </row>
    <row r="43" customFormat="false" ht="15" hidden="false" customHeight="false" outlineLevel="0" collapsed="false">
      <c r="A43" s="66" t="s">
        <v>652</v>
      </c>
    </row>
    <row r="44" customFormat="false" ht="15" hidden="false" customHeight="false" outlineLevel="0" collapsed="false">
      <c r="A44" s="66" t="s">
        <v>653</v>
      </c>
    </row>
    <row r="45" customFormat="false" ht="15" hidden="false" customHeight="false" outlineLevel="0" collapsed="false">
      <c r="A45" s="66" t="s">
        <v>654</v>
      </c>
    </row>
    <row r="46" customFormat="false" ht="15" hidden="false" customHeight="false" outlineLevel="0" collapsed="false">
      <c r="A46" s="66"/>
    </row>
    <row r="47" customFormat="false" ht="15" hidden="false" customHeight="false" outlineLevel="0" collapsed="false">
      <c r="A47" s="65" t="s">
        <v>655</v>
      </c>
    </row>
    <row r="48" customFormat="false" ht="15" hidden="false" customHeight="false" outlineLevel="0" collapsed="false">
      <c r="A48" s="66" t="s">
        <v>656</v>
      </c>
    </row>
    <row r="49" customFormat="false" ht="15" hidden="false" customHeight="false" outlineLevel="0" collapsed="false">
      <c r="A49" s="66" t="s">
        <v>657</v>
      </c>
    </row>
    <row r="50" customFormat="false" ht="15" hidden="false" customHeight="false" outlineLevel="0" collapsed="false">
      <c r="A50" s="66" t="s">
        <v>658</v>
      </c>
    </row>
    <row r="51" customFormat="false" ht="15" hidden="false" customHeight="false" outlineLevel="0" collapsed="false">
      <c r="A51" s="84"/>
    </row>
    <row r="52" customFormat="false" ht="15" hidden="false" customHeight="false" outlineLevel="0" collapsed="false">
      <c r="A52" s="84"/>
    </row>
    <row r="53" customFormat="false" ht="15" hidden="false" customHeight="false" outlineLevel="0" collapsed="false">
      <c r="A53" s="84"/>
    </row>
    <row r="54" customFormat="false" ht="15" hidden="false" customHeight="false" outlineLevel="0" collapsed="false">
      <c r="A54" s="84"/>
    </row>
    <row r="55" customFormat="false" ht="15" hidden="false" customHeight="false" outlineLevel="0" collapsed="false">
      <c r="A55" s="84"/>
    </row>
    <row r="56" customFormat="false" ht="15" hidden="false" customHeight="false" outlineLevel="0" collapsed="false">
      <c r="A56" s="84"/>
    </row>
    <row r="57" customFormat="false" ht="15" hidden="false" customHeight="false" outlineLevel="0" collapsed="false">
      <c r="A57" s="84"/>
    </row>
    <row r="58" customFormat="false" ht="15" hidden="false" customHeight="false" outlineLevel="0" collapsed="false">
      <c r="A58" s="84"/>
    </row>
    <row r="59" customFormat="false" ht="15" hidden="false" customHeight="false" outlineLevel="0" collapsed="false">
      <c r="A59" s="8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8"/>
    <col collapsed="false" customWidth="true" hidden="false" outlineLevel="0" max="6" min="3" style="0" width="11.99"/>
    <col collapsed="false" customWidth="true" hidden="false" outlineLevel="0" max="10" min="7" style="0" width="10.99"/>
    <col collapsed="false" customWidth="true" hidden="false" outlineLevel="0" max="11" min="11" style="0" width="13.02"/>
    <col collapsed="false" customWidth="true" hidden="false" outlineLevel="0" max="13" min="12" style="0" width="10.99"/>
  </cols>
  <sheetData>
    <row r="1" customFormat="false" ht="15" hidden="false" customHeight="false" outlineLevel="0" collapsed="false">
      <c r="A1" s="67" t="s">
        <v>659</v>
      </c>
    </row>
    <row r="2" customFormat="false" ht="15" hidden="false" customHeight="false" outlineLevel="0" collapsed="false">
      <c r="A2" s="68" t="s">
        <v>660</v>
      </c>
    </row>
    <row r="4" customFormat="false" ht="15" hidden="false" customHeight="false" outlineLevel="0" collapsed="false">
      <c r="A4" s="85" t="s">
        <v>661</v>
      </c>
      <c r="B4" s="86"/>
      <c r="C4" s="86"/>
    </row>
    <row r="5" customFormat="false" ht="15" hidden="false" customHeight="false" outlineLevel="0" collapsed="false">
      <c r="A5" s="56" t="s">
        <v>662</v>
      </c>
      <c r="B5" s="87" t="n">
        <v>0.15</v>
      </c>
    </row>
    <row r="6" customFormat="false" ht="15" hidden="false" customHeight="false" outlineLevel="0" collapsed="false">
      <c r="A6" s="56" t="s">
        <v>663</v>
      </c>
      <c r="B6" s="88" t="n">
        <v>4.5</v>
      </c>
    </row>
    <row r="7" customFormat="false" ht="15" hidden="false" customHeight="false" outlineLevel="0" collapsed="false">
      <c r="A7" s="56" t="s">
        <v>664</v>
      </c>
      <c r="B7" s="87" t="n">
        <v>0.08</v>
      </c>
    </row>
    <row r="8" customFormat="false" ht="15" hidden="false" customHeight="false" outlineLevel="0" collapsed="false">
      <c r="A8" s="56" t="s">
        <v>665</v>
      </c>
      <c r="B8" s="87" t="n">
        <v>0.02</v>
      </c>
    </row>
    <row r="9" customFormat="false" ht="15" hidden="false" customHeight="false" outlineLevel="0" collapsed="false">
      <c r="A9" s="56" t="s">
        <v>666</v>
      </c>
      <c r="B9" s="87" t="n">
        <v>0.015</v>
      </c>
    </row>
    <row r="10" customFormat="false" ht="15" hidden="false" customHeight="false" outlineLevel="0" collapsed="false">
      <c r="A10" s="56" t="s">
        <v>667</v>
      </c>
      <c r="B10" s="89" t="n">
        <f aca="false">'Fixed Costs - Madrid'!B34</f>
        <v>4035</v>
      </c>
    </row>
    <row r="12" customFormat="false" ht="15" hidden="false" customHeight="false" outlineLevel="0" collapsed="false">
      <c r="A12" s="53" t="s">
        <v>668</v>
      </c>
    </row>
    <row r="14" customFormat="false" ht="46.25" hidden="false" customHeight="true" outlineLevel="0" collapsed="false">
      <c r="A14" s="7" t="s">
        <v>107</v>
      </c>
      <c r="B14" s="7" t="s">
        <v>669</v>
      </c>
      <c r="C14" s="7" t="s">
        <v>670</v>
      </c>
      <c r="D14" s="7" t="s">
        <v>671</v>
      </c>
      <c r="E14" s="7" t="s">
        <v>672</v>
      </c>
      <c r="F14" s="7" t="s">
        <v>673</v>
      </c>
      <c r="G14" s="7" t="s">
        <v>674</v>
      </c>
      <c r="H14" s="7" t="s">
        <v>675</v>
      </c>
      <c r="I14" s="7" t="s">
        <v>676</v>
      </c>
      <c r="J14" s="7" t="s">
        <v>677</v>
      </c>
      <c r="K14" s="7" t="s">
        <v>678</v>
      </c>
      <c r="L14" s="7" t="s">
        <v>679</v>
      </c>
      <c r="M14" s="7" t="s">
        <v>680</v>
      </c>
    </row>
    <row r="15" customFormat="false" ht="15" hidden="false" customHeight="false" outlineLevel="0" collapsed="false">
      <c r="A15" s="90" t="s">
        <v>681</v>
      </c>
      <c r="B15" s="91" t="n">
        <v>32</v>
      </c>
      <c r="C15" s="92" t="n">
        <v>257.554</v>
      </c>
      <c r="D15" s="92" t="n">
        <f aca="false">C15*(1-$B$5)</f>
        <v>218.9209</v>
      </c>
      <c r="E15" s="92" t="n">
        <f aca="false">D15/$B$6</f>
        <v>48.6490888888889</v>
      </c>
      <c r="F15" s="92" t="n">
        <f aca="false">D15*$B$7</f>
        <v>17.513672</v>
      </c>
      <c r="G15" s="92" t="n">
        <f aca="false">E15*$B$8</f>
        <v>0.972981777777778</v>
      </c>
      <c r="H15" s="92" t="n">
        <f aca="false">D15*$B$9</f>
        <v>3.2838135</v>
      </c>
      <c r="I15" s="92" t="n">
        <f aca="false">E15+F15+G15+H15</f>
        <v>70.4195561666667</v>
      </c>
      <c r="J15" s="93" t="n">
        <f aca="false">D15-I15</f>
        <v>148.501343833333</v>
      </c>
      <c r="K15" s="94" t="n">
        <f aca="false">J15/D15</f>
        <v>0.678333333333333</v>
      </c>
      <c r="L15" s="95" t="n">
        <f aca="false">$B$10/J15</f>
        <v>27.1714712866746</v>
      </c>
      <c r="M15" s="94" t="n">
        <v>0.180790960451977</v>
      </c>
    </row>
    <row r="16" customFormat="false" ht="15" hidden="false" customHeight="false" outlineLevel="0" collapsed="false">
      <c r="A16" s="90" t="s">
        <v>682</v>
      </c>
      <c r="B16" s="91" t="n">
        <v>3</v>
      </c>
      <c r="C16" s="92" t="n">
        <v>119.5908</v>
      </c>
      <c r="D16" s="92" t="n">
        <f aca="false">C16*(1-$B$5)</f>
        <v>101.65218</v>
      </c>
      <c r="E16" s="92" t="n">
        <f aca="false">D16/$B$6</f>
        <v>22.5893733333333</v>
      </c>
      <c r="F16" s="92" t="n">
        <f aca="false">D16*$B$7</f>
        <v>8.1321744</v>
      </c>
      <c r="G16" s="92" t="n">
        <f aca="false">E16*$B$8</f>
        <v>0.451787466666667</v>
      </c>
      <c r="H16" s="92" t="n">
        <f aca="false">D16*$B$9</f>
        <v>1.5247827</v>
      </c>
      <c r="I16" s="92" t="n">
        <f aca="false">E16+F16+G16+H16</f>
        <v>32.6981179</v>
      </c>
      <c r="J16" s="93" t="n">
        <f aca="false">D16-I16</f>
        <v>68.9540621</v>
      </c>
      <c r="K16" s="94" t="n">
        <f aca="false">J16/D16</f>
        <v>0.678333333333333</v>
      </c>
      <c r="L16" s="95" t="n">
        <f aca="false">$B$10/J16</f>
        <v>58.5172196838567</v>
      </c>
      <c r="M16" s="94" t="n">
        <v>0.0169491525423729</v>
      </c>
    </row>
    <row r="17" customFormat="false" ht="15" hidden="false" customHeight="false" outlineLevel="0" collapsed="false">
      <c r="A17" s="90" t="s">
        <v>683</v>
      </c>
      <c r="B17" s="91" t="n">
        <v>18</v>
      </c>
      <c r="C17" s="92" t="n">
        <v>118.582888888889</v>
      </c>
      <c r="D17" s="92" t="n">
        <f aca="false">C17*(1-$B$5)</f>
        <v>100.795455555556</v>
      </c>
      <c r="E17" s="92" t="n">
        <f aca="false">D17/$B$6</f>
        <v>22.3989901234568</v>
      </c>
      <c r="F17" s="92" t="n">
        <f aca="false">D17*$B$7</f>
        <v>8.06363644444444</v>
      </c>
      <c r="G17" s="92" t="n">
        <f aca="false">E17*$B$8</f>
        <v>0.447979802469136</v>
      </c>
      <c r="H17" s="92" t="n">
        <f aca="false">D17*$B$9</f>
        <v>1.51193183333333</v>
      </c>
      <c r="I17" s="92" t="n">
        <f aca="false">E17+F17+G17+H17</f>
        <v>32.4225382037037</v>
      </c>
      <c r="J17" s="93" t="n">
        <f aca="false">D17-I17</f>
        <v>68.3729173518519</v>
      </c>
      <c r="K17" s="94" t="n">
        <f aca="false">J17/D17</f>
        <v>0.678333333333333</v>
      </c>
      <c r="L17" s="95" t="n">
        <f aca="false">$B$10/J17</f>
        <v>59.014594612595</v>
      </c>
      <c r="M17" s="94" t="n">
        <v>0.101694915254237</v>
      </c>
    </row>
    <row r="18" customFormat="false" ht="15" hidden="false" customHeight="false" outlineLevel="0" collapsed="false">
      <c r="A18" s="90" t="s">
        <v>684</v>
      </c>
      <c r="B18" s="91" t="n">
        <v>5</v>
      </c>
      <c r="C18" s="92" t="n">
        <v>118.45184</v>
      </c>
      <c r="D18" s="92" t="n">
        <f aca="false">C18*(1-$B$5)</f>
        <v>100.684064</v>
      </c>
      <c r="E18" s="92" t="n">
        <f aca="false">D18/$B$6</f>
        <v>22.3742364444444</v>
      </c>
      <c r="F18" s="92" t="n">
        <f aca="false">D18*$B$7</f>
        <v>8.05472512</v>
      </c>
      <c r="G18" s="92" t="n">
        <f aca="false">E18*$B$8</f>
        <v>0.447484728888889</v>
      </c>
      <c r="H18" s="92" t="n">
        <f aca="false">D18*$B$9</f>
        <v>1.51026096</v>
      </c>
      <c r="I18" s="92" t="n">
        <f aca="false">E18+F18+G18+H18</f>
        <v>32.3867072533333</v>
      </c>
      <c r="J18" s="93" t="n">
        <f aca="false">D18-I18</f>
        <v>68.2973567466667</v>
      </c>
      <c r="K18" s="94" t="n">
        <f aca="false">J18/D18</f>
        <v>0.678333333333333</v>
      </c>
      <c r="L18" s="95" t="n">
        <f aca="false">$B$10/J18</f>
        <v>59.07988525774</v>
      </c>
      <c r="M18" s="94" t="n">
        <v>0.0282485875706215</v>
      </c>
    </row>
    <row r="19" customFormat="false" ht="15" hidden="false" customHeight="false" outlineLevel="0" collapsed="false">
      <c r="A19" s="90" t="s">
        <v>685</v>
      </c>
      <c r="B19" s="91" t="n">
        <v>18</v>
      </c>
      <c r="C19" s="92" t="n">
        <v>99.7648</v>
      </c>
      <c r="D19" s="92" t="n">
        <f aca="false">C19*(1-$B$5)</f>
        <v>84.80008</v>
      </c>
      <c r="E19" s="92" t="n">
        <f aca="false">D19/$B$6</f>
        <v>18.8444622222222</v>
      </c>
      <c r="F19" s="92" t="n">
        <f aca="false">D19*$B$7</f>
        <v>6.7840064</v>
      </c>
      <c r="G19" s="92" t="n">
        <f aca="false">E19*$B$8</f>
        <v>0.376889244444444</v>
      </c>
      <c r="H19" s="92" t="n">
        <f aca="false">D19*$B$9</f>
        <v>1.2720012</v>
      </c>
      <c r="I19" s="92" t="n">
        <f aca="false">E19+F19+G19+H19</f>
        <v>27.2773590666667</v>
      </c>
      <c r="J19" s="93" t="n">
        <f aca="false">D19-I19</f>
        <v>57.5227209333333</v>
      </c>
      <c r="K19" s="94" t="n">
        <f aca="false">J19/D19</f>
        <v>0.678333333333333</v>
      </c>
      <c r="L19" s="95" t="n">
        <f aca="false">$B$10/J19</f>
        <v>70.1461950083414</v>
      </c>
      <c r="M19" s="94" t="n">
        <v>0.101694915254237</v>
      </c>
    </row>
    <row r="20" customFormat="false" ht="15" hidden="false" customHeight="false" outlineLevel="0" collapsed="false">
      <c r="A20" s="90" t="s">
        <v>686</v>
      </c>
      <c r="B20" s="91" t="n">
        <v>101</v>
      </c>
      <c r="C20" s="92" t="n">
        <v>57.6866415841584</v>
      </c>
      <c r="D20" s="92" t="n">
        <f aca="false">C20*(1-$B$5)</f>
        <v>49.0336453465347</v>
      </c>
      <c r="E20" s="92" t="n">
        <f aca="false">D20/$B$6</f>
        <v>10.8963656325633</v>
      </c>
      <c r="F20" s="92" t="n">
        <f aca="false">D20*$B$7</f>
        <v>3.92269162772277</v>
      </c>
      <c r="G20" s="92" t="n">
        <f aca="false">E20*$B$8</f>
        <v>0.217927312651265</v>
      </c>
      <c r="H20" s="92" t="n">
        <f aca="false">D20*$B$9</f>
        <v>0.73550468019802</v>
      </c>
      <c r="I20" s="92" t="n">
        <f aca="false">E20+F20+G20+H20</f>
        <v>15.7724892531353</v>
      </c>
      <c r="J20" s="93" t="n">
        <f aca="false">D20-I20</f>
        <v>33.2611560933993</v>
      </c>
      <c r="K20" s="94" t="n">
        <f aca="false">J20/D20</f>
        <v>0.678333333333333</v>
      </c>
      <c r="L20" s="95" t="n">
        <f aca="false">$B$10/J20</f>
        <v>121.31268043328</v>
      </c>
      <c r="M20" s="94" t="n">
        <v>0.570621468926554</v>
      </c>
    </row>
    <row r="21" customFormat="false" ht="15" hidden="false" customHeight="false" outlineLevel="0" collapsed="false">
      <c r="A21" s="69" t="s">
        <v>687</v>
      </c>
      <c r="B21" s="71" t="n">
        <v>177</v>
      </c>
      <c r="C21" s="96" t="n">
        <v>107.05858079096</v>
      </c>
      <c r="D21" s="96" t="n">
        <f aca="false">C21*(1-$B$5)</f>
        <v>90.9997936723164</v>
      </c>
      <c r="E21" s="96" t="n">
        <f aca="false">D21/$B$6</f>
        <v>20.2221763716259</v>
      </c>
      <c r="F21" s="97" t="n">
        <f aca="false">D21*$B$7</f>
        <v>7.27998349378531</v>
      </c>
      <c r="G21" s="97" t="n">
        <f aca="false">E21*$B$8</f>
        <v>0.404443527432517</v>
      </c>
      <c r="H21" s="97" t="n">
        <f aca="false">D21*$B$9</f>
        <v>1.36499690508475</v>
      </c>
      <c r="I21" s="97" t="n">
        <f aca="false">E21+F21+G21+H21</f>
        <v>29.2716002979284</v>
      </c>
      <c r="J21" s="96" t="n">
        <f aca="false">D21-I21</f>
        <v>61.7281933743879</v>
      </c>
      <c r="K21" s="98" t="n">
        <f aca="false">J21/D21</f>
        <v>0.678333333333333</v>
      </c>
      <c r="L21" s="99" t="n">
        <f aca="false">$B$10/J21</f>
        <v>65.3672135765793</v>
      </c>
      <c r="M21" s="74"/>
    </row>
    <row r="24" customFormat="false" ht="15" hidden="false" customHeight="false" outlineLevel="0" collapsed="false">
      <c r="A24" s="53" t="s">
        <v>688</v>
      </c>
    </row>
    <row r="26" customFormat="false" ht="15" hidden="false" customHeight="false" outlineLevel="0" collapsed="false">
      <c r="A26" s="7" t="s">
        <v>689</v>
      </c>
      <c r="B26" s="7" t="s">
        <v>690</v>
      </c>
      <c r="C26" s="7" t="s">
        <v>691</v>
      </c>
      <c r="D26" s="7" t="s">
        <v>692</v>
      </c>
      <c r="E26" s="7" t="s">
        <v>693</v>
      </c>
      <c r="F26" s="7" t="s">
        <v>694</v>
      </c>
      <c r="G26" s="7" t="s">
        <v>695</v>
      </c>
      <c r="H26" s="7" t="s">
        <v>678</v>
      </c>
      <c r="I26" s="7" t="s">
        <v>696</v>
      </c>
      <c r="J26" s="7" t="s">
        <v>697</v>
      </c>
      <c r="K26" s="7" t="s">
        <v>698</v>
      </c>
    </row>
    <row r="27" customFormat="false" ht="15" hidden="false" customHeight="false" outlineLevel="0" collapsed="false">
      <c r="A27" s="90" t="s">
        <v>699</v>
      </c>
      <c r="B27" s="91" t="n">
        <v>23</v>
      </c>
      <c r="C27" s="94" t="n">
        <v>0.129943502824859</v>
      </c>
      <c r="D27" s="92" t="n">
        <v>18.714</v>
      </c>
      <c r="E27" s="92" t="n">
        <f aca="false">D27*(1-$B$5)</f>
        <v>15.9069</v>
      </c>
      <c r="F27" s="92" t="n">
        <f aca="false">E27/$B$6+E27*$B$7+E27/$B$6*$B$8+E27*$B$9</f>
        <v>5.1167195</v>
      </c>
      <c r="G27" s="93" t="n">
        <f aca="false">E27-F27</f>
        <v>10.7901805</v>
      </c>
      <c r="H27" s="94" t="n">
        <f aca="false">G27/E27</f>
        <v>0.678333333333333</v>
      </c>
      <c r="I27" s="100" t="n">
        <f aca="false">$B$10/G27</f>
        <v>373.951112309938</v>
      </c>
      <c r="J27" s="101" t="n">
        <f aca="false">I27/26</f>
        <v>14.3827350888438</v>
      </c>
      <c r="K27" s="90" t="s">
        <v>700</v>
      </c>
    </row>
    <row r="28" customFormat="false" ht="15" hidden="false" customHeight="false" outlineLevel="0" collapsed="false">
      <c r="A28" s="90" t="s">
        <v>701</v>
      </c>
      <c r="B28" s="91" t="n">
        <v>57</v>
      </c>
      <c r="C28" s="94" t="n">
        <v>0.322033898305085</v>
      </c>
      <c r="D28" s="92" t="n">
        <v>36.5344912280702</v>
      </c>
      <c r="E28" s="92" t="n">
        <f aca="false">D28*(1-$B$5)</f>
        <v>31.0543175438597</v>
      </c>
      <c r="F28" s="92" t="n">
        <f aca="false">E28/$B$6+E28*$B$7+E28/$B$6*$B$8+E28*$B$9</f>
        <v>9.98913880994152</v>
      </c>
      <c r="G28" s="93" t="n">
        <f aca="false">E28-F28</f>
        <v>21.0651787339181</v>
      </c>
      <c r="H28" s="94" t="n">
        <f aca="false">G28/E28</f>
        <v>0.678333333333333</v>
      </c>
      <c r="I28" s="100" t="n">
        <f aca="false">$B$10/G28</f>
        <v>191.548339131965</v>
      </c>
      <c r="J28" s="101" t="n">
        <f aca="false">I28/26</f>
        <v>7.36724381276788</v>
      </c>
      <c r="K28" s="90" t="s">
        <v>702</v>
      </c>
    </row>
    <row r="29" customFormat="false" ht="15" hidden="false" customHeight="false" outlineLevel="0" collapsed="false">
      <c r="A29" s="90" t="s">
        <v>703</v>
      </c>
      <c r="B29" s="91" t="n">
        <v>33</v>
      </c>
      <c r="C29" s="94" t="n">
        <v>0.186440677966102</v>
      </c>
      <c r="D29" s="92" t="n">
        <v>76.8027151515151</v>
      </c>
      <c r="E29" s="92" t="n">
        <f aca="false">D29*(1-$B$5)</f>
        <v>65.2823078787879</v>
      </c>
      <c r="F29" s="92" t="n">
        <f aca="false">E29/$B$6+E29*$B$7+E29/$B$6*$B$8+E29*$B$9</f>
        <v>20.9991423676768</v>
      </c>
      <c r="G29" s="93" t="n">
        <f aca="false">E29-F29</f>
        <v>44.2831655111111</v>
      </c>
      <c r="H29" s="94" t="n">
        <f aca="false">G29/E29</f>
        <v>0.678333333333333</v>
      </c>
      <c r="I29" s="100" t="n">
        <f aca="false">$B$10/G29</f>
        <v>91.1181473462546</v>
      </c>
      <c r="J29" s="101" t="n">
        <f aca="false">I29/26</f>
        <v>3.5045441287021</v>
      </c>
      <c r="K29" s="90" t="s">
        <v>704</v>
      </c>
    </row>
    <row r="30" customFormat="false" ht="15" hidden="false" customHeight="false" outlineLevel="0" collapsed="false">
      <c r="A30" s="90" t="s">
        <v>705</v>
      </c>
      <c r="B30" s="91" t="n">
        <v>23</v>
      </c>
      <c r="C30" s="94" t="n">
        <v>0.129943502824859</v>
      </c>
      <c r="D30" s="92" t="n">
        <v>153.1484</v>
      </c>
      <c r="E30" s="92" t="n">
        <f aca="false">D30*(1-$B$5)</f>
        <v>130.17614</v>
      </c>
      <c r="F30" s="92" t="n">
        <f aca="false">E30/$B$6+E30*$B$7+E30/$B$6*$B$8+E30*$B$9</f>
        <v>41.8733250333333</v>
      </c>
      <c r="G30" s="93" t="n">
        <f aca="false">E30-F30</f>
        <v>88.3028149666667</v>
      </c>
      <c r="H30" s="94" t="n">
        <f aca="false">G30/E30</f>
        <v>0.678333333333333</v>
      </c>
      <c r="I30" s="100" t="n">
        <f aca="false">$B$10/G30</f>
        <v>45.6950325029068</v>
      </c>
      <c r="J30" s="101" t="n">
        <f aca="false">I30/26</f>
        <v>1.7575012501118</v>
      </c>
      <c r="K30" s="90" t="s">
        <v>706</v>
      </c>
    </row>
    <row r="31" customFormat="false" ht="15" hidden="false" customHeight="false" outlineLevel="0" collapsed="false">
      <c r="A31" s="90" t="s">
        <v>707</v>
      </c>
      <c r="B31" s="91" t="n">
        <v>41</v>
      </c>
      <c r="C31" s="94" t="n">
        <v>0.231638418079096</v>
      </c>
      <c r="D31" s="92" t="n">
        <v>253.16043902439</v>
      </c>
      <c r="E31" s="92" t="n">
        <f aca="false">D31*(1-$B$5)</f>
        <v>215.186373170732</v>
      </c>
      <c r="F31" s="92" t="n">
        <f aca="false">E31/$B$6+E31*$B$7+E31/$B$6*$B$8+E31*$B$9</f>
        <v>69.2182833699187</v>
      </c>
      <c r="G31" s="93" t="n">
        <f aca="false">E31-F31</f>
        <v>145.968089800813</v>
      </c>
      <c r="H31" s="94" t="n">
        <f aca="false">G31/E31</f>
        <v>0.678333333333333</v>
      </c>
      <c r="I31" s="100" t="n">
        <f aca="false">$B$10/G31</f>
        <v>27.6430280447331</v>
      </c>
      <c r="J31" s="101" t="n">
        <f aca="false">I31/26</f>
        <v>1.06319338633589</v>
      </c>
      <c r="K31" s="90" t="s">
        <v>708</v>
      </c>
    </row>
    <row r="34" customFormat="false" ht="15" hidden="false" customHeight="false" outlineLevel="0" collapsed="false">
      <c r="A34" s="53" t="s">
        <v>709</v>
      </c>
    </row>
    <row r="35" customFormat="false" ht="15" hidden="false" customHeight="false" outlineLevel="0" collapsed="false">
      <c r="A35" s="68" t="s">
        <v>710</v>
      </c>
    </row>
    <row r="37" customFormat="false" ht="31.5" hidden="false" customHeight="true" outlineLevel="0" collapsed="false">
      <c r="A37" s="7" t="s">
        <v>107</v>
      </c>
      <c r="B37" s="7" t="s">
        <v>711</v>
      </c>
      <c r="C37" s="7" t="s">
        <v>693</v>
      </c>
      <c r="D37" s="7" t="s">
        <v>712</v>
      </c>
      <c r="E37" s="7" t="s">
        <v>713</v>
      </c>
      <c r="F37" s="7" t="s">
        <v>714</v>
      </c>
      <c r="G37" s="7" t="s">
        <v>715</v>
      </c>
      <c r="H37" s="7" t="s">
        <v>716</v>
      </c>
    </row>
    <row r="38" customFormat="false" ht="15" hidden="false" customHeight="false" outlineLevel="0" collapsed="false">
      <c r="A38" s="56" t="s">
        <v>686</v>
      </c>
      <c r="B38" s="57" t="n">
        <v>57.6866415841584</v>
      </c>
      <c r="C38" s="57" t="n">
        <f aca="false">B38*(1-$B$5)</f>
        <v>49.0336453465347</v>
      </c>
      <c r="D38" s="57" t="n">
        <f aca="false">C38-(C38/$B$6+C38*$B$7+C38/$B$6*$B$8+C38*$B$9)</f>
        <v>33.2611560933993</v>
      </c>
      <c r="E38" s="102" t="n">
        <v>60</v>
      </c>
      <c r="F38" s="62" t="n">
        <f aca="false">C38*E38</f>
        <v>2942.01872079208</v>
      </c>
      <c r="G38" s="62" t="n">
        <f aca="false">D38*E38</f>
        <v>1995.66936560396</v>
      </c>
      <c r="H38" s="58" t="n">
        <f aca="false">G38/G44</f>
        <v>0.401555988407845</v>
      </c>
    </row>
    <row r="39" customFormat="false" ht="15" hidden="false" customHeight="false" outlineLevel="0" collapsed="false">
      <c r="A39" s="56" t="s">
        <v>683</v>
      </c>
      <c r="B39" s="57" t="n">
        <v>118.582888888889</v>
      </c>
      <c r="C39" s="57" t="n">
        <f aca="false">B39*(1-$B$5)</f>
        <v>100.795455555556</v>
      </c>
      <c r="D39" s="57" t="n">
        <f aca="false">C39-(C39/$B$6+C39*$B$7+C39/$B$6*$B$8+C39*$B$9)</f>
        <v>68.3729173518519</v>
      </c>
      <c r="E39" s="102" t="n">
        <v>12</v>
      </c>
      <c r="F39" s="62" t="n">
        <f aca="false">C39*E39</f>
        <v>1209.54546666667</v>
      </c>
      <c r="G39" s="62" t="n">
        <f aca="false">D39*E39</f>
        <v>820.475008222222</v>
      </c>
      <c r="H39" s="58" t="n">
        <f aca="false">G39/G44</f>
        <v>0.165090800394634</v>
      </c>
    </row>
    <row r="40" customFormat="false" ht="15" hidden="false" customHeight="false" outlineLevel="0" collapsed="false">
      <c r="A40" s="56" t="s">
        <v>685</v>
      </c>
      <c r="B40" s="57" t="n">
        <v>99.7648</v>
      </c>
      <c r="C40" s="57" t="n">
        <f aca="false">B40*(1-$B$5)</f>
        <v>84.80008</v>
      </c>
      <c r="D40" s="57" t="n">
        <f aca="false">C40-(C40/$B$6+C40*$B$7+C40/$B$6*$B$8+C40*$B$9)</f>
        <v>57.5227209333333</v>
      </c>
      <c r="E40" s="102" t="n">
        <v>15</v>
      </c>
      <c r="F40" s="62" t="n">
        <f aca="false">C40*E40</f>
        <v>1272.0012</v>
      </c>
      <c r="G40" s="62" t="n">
        <f aca="false">D40*E40</f>
        <v>862.840814</v>
      </c>
      <c r="H40" s="58" t="n">
        <f aca="false">G40/G44</f>
        <v>0.17361538032105</v>
      </c>
    </row>
    <row r="41" customFormat="false" ht="15" hidden="false" customHeight="false" outlineLevel="0" collapsed="false">
      <c r="A41" s="56" t="s">
        <v>684</v>
      </c>
      <c r="B41" s="57" t="n">
        <v>118.45184</v>
      </c>
      <c r="C41" s="57" t="n">
        <f aca="false">B41*(1-$B$5)</f>
        <v>100.684064</v>
      </c>
      <c r="D41" s="57" t="n">
        <f aca="false">C41-(C41/$B$6+C41*$B$7+C41/$B$6*$B$8+C41*$B$9)</f>
        <v>68.2973567466667</v>
      </c>
      <c r="E41" s="102" t="n">
        <v>5</v>
      </c>
      <c r="F41" s="62" t="n">
        <f aca="false">C41*E41</f>
        <v>503.42032</v>
      </c>
      <c r="G41" s="62" t="n">
        <f aca="false">D41*E41</f>
        <v>341.486783733333</v>
      </c>
      <c r="H41" s="58" t="n">
        <f aca="false">G41/G44</f>
        <v>0.0687118143584649</v>
      </c>
    </row>
    <row r="42" customFormat="false" ht="15" hidden="false" customHeight="false" outlineLevel="0" collapsed="false">
      <c r="A42" s="56" t="s">
        <v>681</v>
      </c>
      <c r="B42" s="57" t="n">
        <v>257.554</v>
      </c>
      <c r="C42" s="57" t="n">
        <f aca="false">B42*(1-$B$5)</f>
        <v>218.9209</v>
      </c>
      <c r="D42" s="57" t="n">
        <f aca="false">C42-(C42/$B$6+C42*$B$7+C42/$B$6*$B$8+C42*$B$9)</f>
        <v>148.501343833333</v>
      </c>
      <c r="E42" s="102" t="n">
        <v>5</v>
      </c>
      <c r="F42" s="62" t="n">
        <f aca="false">C42*E42</f>
        <v>1094.6045</v>
      </c>
      <c r="G42" s="62" t="n">
        <f aca="false">D42*E42</f>
        <v>742.506719166667</v>
      </c>
      <c r="H42" s="58" t="n">
        <f aca="false">G42/G44</f>
        <v>0.149402513589321</v>
      </c>
    </row>
    <row r="43" customFormat="false" ht="15" hidden="false" customHeight="false" outlineLevel="0" collapsed="false">
      <c r="A43" s="56" t="s">
        <v>682</v>
      </c>
      <c r="B43" s="57" t="n">
        <v>119.5908</v>
      </c>
      <c r="C43" s="57" t="n">
        <f aca="false">B43*(1-$B$5)</f>
        <v>101.65218</v>
      </c>
      <c r="D43" s="57" t="n">
        <f aca="false">C43-(C43/$B$6+C43*$B$7+C43/$B$6*$B$8+C43*$B$9)</f>
        <v>68.9540621</v>
      </c>
      <c r="E43" s="102" t="n">
        <v>3</v>
      </c>
      <c r="F43" s="62" t="n">
        <f aca="false">C43*E43</f>
        <v>304.95654</v>
      </c>
      <c r="G43" s="62" t="n">
        <f aca="false">D43*E43</f>
        <v>206.8621863</v>
      </c>
      <c r="H43" s="58" t="n">
        <f aca="false">G43/G44</f>
        <v>0.0416235029286855</v>
      </c>
    </row>
    <row r="44" customFormat="false" ht="15" hidden="false" customHeight="false" outlineLevel="0" collapsed="false">
      <c r="A44" s="103" t="s">
        <v>717</v>
      </c>
      <c r="B44" s="74"/>
      <c r="C44" s="74"/>
      <c r="D44" s="74"/>
      <c r="E44" s="71" t="n">
        <f aca="false">SUM(E38:E43)</f>
        <v>100</v>
      </c>
      <c r="F44" s="80" t="n">
        <f aca="false">SUM(F38:F43)</f>
        <v>7326.54674745875</v>
      </c>
      <c r="G44" s="80" t="n">
        <f aca="false">SUM(G38:G43)</f>
        <v>4969.84087702618</v>
      </c>
      <c r="H44" s="104" t="n">
        <v>1</v>
      </c>
    </row>
    <row r="46" customFormat="false" ht="15" hidden="false" customHeight="false" outlineLevel="0" collapsed="false">
      <c r="A46" s="1" t="s">
        <v>718</v>
      </c>
      <c r="B46" s="105" t="n">
        <f aca="false">G44</f>
        <v>4969.84087702618</v>
      </c>
    </row>
    <row r="47" customFormat="false" ht="15" hidden="false" customHeight="false" outlineLevel="0" collapsed="false">
      <c r="A47" s="1" t="s">
        <v>719</v>
      </c>
      <c r="B47" s="105" t="n">
        <f aca="false">$B$10</f>
        <v>4035</v>
      </c>
    </row>
    <row r="48" customFormat="false" ht="15" hidden="false" customHeight="false" outlineLevel="0" collapsed="false">
      <c r="A48" s="106" t="s">
        <v>720</v>
      </c>
      <c r="B48" s="107" t="n">
        <f aca="false">G44-$B$10</f>
        <v>934.84087702618</v>
      </c>
    </row>
    <row r="49" customFormat="false" ht="15" hidden="false" customHeight="false" outlineLevel="0" collapsed="false">
      <c r="A49" s="1" t="s">
        <v>721</v>
      </c>
      <c r="B49" s="108" t="n">
        <f aca="false">F44/E44</f>
        <v>73.2654674745875</v>
      </c>
    </row>
    <row r="50" customFormat="false" ht="15" hidden="false" customHeight="false" outlineLevel="0" collapsed="false">
      <c r="A50" s="1" t="s">
        <v>722</v>
      </c>
      <c r="B50" s="108" t="n">
        <f aca="false">G44/E44</f>
        <v>49.6984087702618</v>
      </c>
    </row>
    <row r="51" customFormat="false" ht="15" hidden="false" customHeight="false" outlineLevel="0" collapsed="false">
      <c r="A51" s="1" t="s">
        <v>723</v>
      </c>
      <c r="B51" s="109" t="n">
        <f aca="false">$B$10/(G44/E44)</f>
        <v>81.1897221629847</v>
      </c>
    </row>
    <row r="52" customFormat="false" ht="15" hidden="false" customHeight="false" outlineLevel="0" collapsed="false">
      <c r="A52" s="1" t="s">
        <v>724</v>
      </c>
      <c r="B52" s="110" t="n">
        <f aca="false">B51/26</f>
        <v>3.12268162165326</v>
      </c>
    </row>
    <row r="55" customFormat="false" ht="15" hidden="false" customHeight="false" outlineLevel="0" collapsed="false">
      <c r="A55" s="53" t="s">
        <v>725</v>
      </c>
    </row>
    <row r="56" customFormat="false" ht="15" hidden="false" customHeight="false" outlineLevel="0" collapsed="false">
      <c r="A56" s="68" t="s">
        <v>726</v>
      </c>
    </row>
    <row r="58" customFormat="false" ht="15" hidden="false" customHeight="false" outlineLevel="0" collapsed="false">
      <c r="A58" s="7" t="s">
        <v>107</v>
      </c>
      <c r="B58" s="7" t="s">
        <v>727</v>
      </c>
      <c r="C58" s="7" t="s">
        <v>728</v>
      </c>
      <c r="D58" s="7" t="s">
        <v>697</v>
      </c>
      <c r="E58" s="7" t="s">
        <v>729</v>
      </c>
    </row>
    <row r="59" customFormat="false" ht="15" hidden="false" customHeight="false" outlineLevel="0" collapsed="false">
      <c r="A59" s="56" t="s">
        <v>681</v>
      </c>
      <c r="B59" s="57" t="n">
        <f aca="false">J15</f>
        <v>148.501343833333</v>
      </c>
      <c r="C59" s="72" t="n">
        <f aca="false">L15</f>
        <v>27.1714712866746</v>
      </c>
      <c r="D59" s="111" t="n">
        <f aca="false">L15/26</f>
        <v>1.04505658794902</v>
      </c>
      <c r="E59" s="62" t="n">
        <f aca="false">L15*D15</f>
        <v>5948.40294840296</v>
      </c>
    </row>
    <row r="60" customFormat="false" ht="15" hidden="false" customHeight="false" outlineLevel="0" collapsed="false">
      <c r="A60" s="56" t="s">
        <v>682</v>
      </c>
      <c r="B60" s="57" t="n">
        <f aca="false">J16</f>
        <v>68.9540621</v>
      </c>
      <c r="C60" s="72" t="n">
        <f aca="false">L16</f>
        <v>58.5172196838567</v>
      </c>
      <c r="D60" s="111" t="n">
        <f aca="false">L16/26</f>
        <v>2.25066229553295</v>
      </c>
      <c r="E60" s="62" t="n">
        <f aca="false">L16*D16</f>
        <v>5948.40294840295</v>
      </c>
    </row>
    <row r="61" customFormat="false" ht="15" hidden="false" customHeight="false" outlineLevel="0" collapsed="false">
      <c r="A61" s="56" t="s">
        <v>683</v>
      </c>
      <c r="B61" s="57" t="n">
        <f aca="false">J17</f>
        <v>68.3729173518519</v>
      </c>
      <c r="C61" s="72" t="n">
        <f aca="false">L17</f>
        <v>59.014594612595</v>
      </c>
      <c r="D61" s="111" t="n">
        <f aca="false">L17/26</f>
        <v>2.26979210048442</v>
      </c>
      <c r="E61" s="62" t="n">
        <f aca="false">L17*D17</f>
        <v>5948.40294840297</v>
      </c>
    </row>
    <row r="62" customFormat="false" ht="15" hidden="false" customHeight="false" outlineLevel="0" collapsed="false">
      <c r="A62" s="56" t="s">
        <v>684</v>
      </c>
      <c r="B62" s="57" t="n">
        <f aca="false">J18</f>
        <v>68.2973567466667</v>
      </c>
      <c r="C62" s="72" t="n">
        <f aca="false">L18</f>
        <v>59.07988525774</v>
      </c>
      <c r="D62" s="111" t="n">
        <f aca="false">L18/26</f>
        <v>2.27230327914384</v>
      </c>
      <c r="E62" s="62" t="n">
        <f aca="false">L18*D18</f>
        <v>5948.40294840295</v>
      </c>
    </row>
    <row r="63" customFormat="false" ht="15" hidden="false" customHeight="false" outlineLevel="0" collapsed="false">
      <c r="A63" s="56" t="s">
        <v>685</v>
      </c>
      <c r="B63" s="57" t="n">
        <f aca="false">J19</f>
        <v>57.5227209333333</v>
      </c>
      <c r="C63" s="72" t="n">
        <f aca="false">L19</f>
        <v>70.1461950083414</v>
      </c>
      <c r="D63" s="111" t="n">
        <f aca="false">L19/26</f>
        <v>2.6979305772439</v>
      </c>
      <c r="E63" s="62" t="n">
        <f aca="false">L19*D19</f>
        <v>5948.40294840295</v>
      </c>
    </row>
    <row r="64" customFormat="false" ht="15" hidden="false" customHeight="false" outlineLevel="0" collapsed="false">
      <c r="A64" s="56" t="s">
        <v>686</v>
      </c>
      <c r="B64" s="57" t="n">
        <f aca="false">J20</f>
        <v>33.2611560933993</v>
      </c>
      <c r="C64" s="72" t="n">
        <f aca="false">L20</f>
        <v>121.31268043328</v>
      </c>
      <c r="D64" s="111" t="n">
        <f aca="false">L20/26</f>
        <v>4.66587232435693</v>
      </c>
      <c r="E64" s="62" t="n">
        <f aca="false">L20*D20</f>
        <v>5948.40294840296</v>
      </c>
    </row>
    <row r="67" customFormat="false" ht="15" hidden="false" customHeight="false" outlineLevel="0" collapsed="false">
      <c r="A67" s="53" t="s">
        <v>730</v>
      </c>
    </row>
    <row r="69" customFormat="false" ht="15" hidden="false" customHeight="false" outlineLevel="0" collapsed="false">
      <c r="A69" s="7" t="s">
        <v>713</v>
      </c>
      <c r="B69" s="7" t="s">
        <v>731</v>
      </c>
      <c r="C69" s="7" t="s">
        <v>732</v>
      </c>
      <c r="D69" s="7" t="s">
        <v>733</v>
      </c>
      <c r="E69" s="7" t="s">
        <v>734</v>
      </c>
      <c r="F69" s="7" t="s">
        <v>735</v>
      </c>
      <c r="G69" s="7" t="s">
        <v>736</v>
      </c>
      <c r="H69" s="7" t="s">
        <v>737</v>
      </c>
    </row>
    <row r="70" customFormat="false" ht="15" hidden="false" customHeight="false" outlineLevel="0" collapsed="false">
      <c r="A70" s="112" t="n">
        <v>20</v>
      </c>
      <c r="B70" s="113" t="n">
        <v>0.769230769230769</v>
      </c>
      <c r="C70" s="114" t="n">
        <f aca="false">A70*(F44/E44)</f>
        <v>1465.30934949175</v>
      </c>
      <c r="D70" s="114" t="n">
        <f aca="false">C70*(1-(G44/F44))</f>
        <v>471.341174086512</v>
      </c>
      <c r="E70" s="114" t="n">
        <f aca="false">C70-D70</f>
        <v>993.968175405237</v>
      </c>
      <c r="F70" s="114" t="n">
        <f aca="false">$B$10</f>
        <v>4035</v>
      </c>
      <c r="G70" s="114" t="n">
        <f aca="false">E70-F70</f>
        <v>-3041.03182459476</v>
      </c>
      <c r="H70" s="114" t="n">
        <f aca="false">G70*12</f>
        <v>-36492.3818951371</v>
      </c>
    </row>
    <row r="71" customFormat="false" ht="15" hidden="false" customHeight="false" outlineLevel="0" collapsed="false">
      <c r="A71" s="112" t="n">
        <v>31</v>
      </c>
      <c r="B71" s="113" t="n">
        <v>1.19230769230769</v>
      </c>
      <c r="C71" s="114" t="n">
        <f aca="false">A71*(F44/E44)</f>
        <v>2271.22949171221</v>
      </c>
      <c r="D71" s="114" t="n">
        <f aca="false">C71*(1-(G44/F44))</f>
        <v>730.578819834094</v>
      </c>
      <c r="E71" s="114" t="n">
        <f aca="false">C71-D71</f>
        <v>1540.65067187812</v>
      </c>
      <c r="F71" s="114" t="n">
        <f aca="false">$B$10</f>
        <v>4035</v>
      </c>
      <c r="G71" s="114" t="n">
        <f aca="false">E71-F71</f>
        <v>-2494.34932812188</v>
      </c>
      <c r="H71" s="114" t="n">
        <f aca="false">G71*12</f>
        <v>-29932.1919374626</v>
      </c>
    </row>
    <row r="72" customFormat="false" ht="15" hidden="false" customHeight="false" outlineLevel="0" collapsed="false">
      <c r="A72" s="115" t="n">
        <v>40</v>
      </c>
      <c r="B72" s="116" t="n">
        <v>1.53846153846154</v>
      </c>
      <c r="C72" s="117" t="n">
        <f aca="false">A72*(F44/E44)</f>
        <v>2930.6186989835</v>
      </c>
      <c r="D72" s="117" t="n">
        <f aca="false">C72*(1-(G44/F44))</f>
        <v>942.682348173025</v>
      </c>
      <c r="E72" s="117" t="n">
        <f aca="false">C72-D72</f>
        <v>1987.93635081047</v>
      </c>
      <c r="F72" s="117" t="n">
        <f aca="false">$B$10</f>
        <v>4035</v>
      </c>
      <c r="G72" s="117" t="n">
        <f aca="false">E72-F72</f>
        <v>-2047.06364918953</v>
      </c>
      <c r="H72" s="117" t="n">
        <f aca="false">G72*12</f>
        <v>-24564.7637902744</v>
      </c>
    </row>
    <row r="73" customFormat="false" ht="15" hidden="false" customHeight="false" outlineLevel="0" collapsed="false">
      <c r="A73" s="115" t="n">
        <v>50</v>
      </c>
      <c r="B73" s="116" t="n">
        <v>1.92307692307692</v>
      </c>
      <c r="C73" s="117" t="n">
        <f aca="false">A73*(F44/E44)</f>
        <v>3663.27337372937</v>
      </c>
      <c r="D73" s="117" t="n">
        <f aca="false">C73*(1-(G44/F44))</f>
        <v>1178.35293521628</v>
      </c>
      <c r="E73" s="117" t="n">
        <f aca="false">C73-D73</f>
        <v>2484.92043851309</v>
      </c>
      <c r="F73" s="117" t="n">
        <f aca="false">$B$10</f>
        <v>4035</v>
      </c>
      <c r="G73" s="117" t="n">
        <f aca="false">E73-F73</f>
        <v>-1550.07956148691</v>
      </c>
      <c r="H73" s="117" t="n">
        <f aca="false">G73*12</f>
        <v>-18600.9547378429</v>
      </c>
    </row>
    <row r="74" customFormat="false" ht="15" hidden="false" customHeight="false" outlineLevel="0" collapsed="false">
      <c r="A74" s="91" t="n">
        <v>75</v>
      </c>
      <c r="B74" s="100" t="n">
        <v>2.88461538461538</v>
      </c>
      <c r="C74" s="118" t="n">
        <f aca="false">A74*(F44/E44)</f>
        <v>5494.91006059406</v>
      </c>
      <c r="D74" s="118" t="n">
        <f aca="false">C74*(1-(G44/F44))</f>
        <v>1767.52940282442</v>
      </c>
      <c r="E74" s="118" t="n">
        <f aca="false">C74-D74</f>
        <v>3727.38065776964</v>
      </c>
      <c r="F74" s="118" t="n">
        <f aca="false">$B$10</f>
        <v>4035</v>
      </c>
      <c r="G74" s="118" t="n">
        <f aca="false">E74-F74</f>
        <v>-307.61934223036</v>
      </c>
      <c r="H74" s="118" t="n">
        <f aca="false">G74*12</f>
        <v>-3691.43210676432</v>
      </c>
    </row>
    <row r="75" customFormat="false" ht="15" hidden="false" customHeight="false" outlineLevel="0" collapsed="false">
      <c r="A75" s="91" t="n">
        <v>100</v>
      </c>
      <c r="B75" s="100" t="n">
        <v>3.84615384615385</v>
      </c>
      <c r="C75" s="118" t="n">
        <f aca="false">A75*(F44/E44)</f>
        <v>7326.54674745875</v>
      </c>
      <c r="D75" s="118" t="n">
        <f aca="false">C75*(1-(G44/F44))</f>
        <v>2356.70587043256</v>
      </c>
      <c r="E75" s="118" t="n">
        <f aca="false">C75-D75</f>
        <v>4969.84087702618</v>
      </c>
      <c r="F75" s="118" t="n">
        <f aca="false">$B$10</f>
        <v>4035</v>
      </c>
      <c r="G75" s="118" t="n">
        <f aca="false">E75-F75</f>
        <v>934.84087702618</v>
      </c>
      <c r="H75" s="118" t="n">
        <f aca="false">G75*12</f>
        <v>11218.0905243142</v>
      </c>
    </row>
    <row r="76" customFormat="false" ht="15" hidden="false" customHeight="false" outlineLevel="0" collapsed="false">
      <c r="A76" s="91" t="n">
        <v>125</v>
      </c>
      <c r="B76" s="100" t="n">
        <v>4.80769230769231</v>
      </c>
      <c r="C76" s="118" t="n">
        <f aca="false">A76*(F44/E44)</f>
        <v>9158.18343432343</v>
      </c>
      <c r="D76" s="118" t="n">
        <f aca="false">C76*(1-(G44/F44))</f>
        <v>2945.8823380407</v>
      </c>
      <c r="E76" s="118" t="n">
        <f aca="false">C76-D76</f>
        <v>6212.30109628273</v>
      </c>
      <c r="F76" s="118" t="n">
        <f aca="false">$B$10</f>
        <v>4035</v>
      </c>
      <c r="G76" s="118" t="n">
        <f aca="false">E76-F76</f>
        <v>2177.30109628273</v>
      </c>
      <c r="H76" s="118" t="n">
        <f aca="false">G76*12</f>
        <v>26127.6131553928</v>
      </c>
    </row>
    <row r="77" customFormat="false" ht="15" hidden="false" customHeight="false" outlineLevel="0" collapsed="false">
      <c r="A77" s="91" t="n">
        <v>150</v>
      </c>
      <c r="B77" s="100" t="n">
        <v>5.76923076923077</v>
      </c>
      <c r="C77" s="118" t="n">
        <f aca="false">A77*(F44/E44)</f>
        <v>10989.8201211881</v>
      </c>
      <c r="D77" s="118" t="n">
        <f aca="false">C77*(1-(G44/F44))</f>
        <v>3535.05880564884</v>
      </c>
      <c r="E77" s="118" t="n">
        <f aca="false">C77-D77</f>
        <v>7454.76131553928</v>
      </c>
      <c r="F77" s="118" t="n">
        <f aca="false">$B$10</f>
        <v>4035</v>
      </c>
      <c r="G77" s="118" t="n">
        <f aca="false">E77-F77</f>
        <v>3419.76131553928</v>
      </c>
      <c r="H77" s="118" t="n">
        <f aca="false">G77*12</f>
        <v>41037.1357864714</v>
      </c>
    </row>
    <row r="78" customFormat="false" ht="15" hidden="false" customHeight="false" outlineLevel="0" collapsed="false">
      <c r="A78" s="91" t="n">
        <v>200</v>
      </c>
      <c r="B78" s="100" t="n">
        <v>7.69230769230769</v>
      </c>
      <c r="C78" s="118" t="n">
        <f aca="false">A78*(F44/E44)</f>
        <v>14653.0934949175</v>
      </c>
      <c r="D78" s="118" t="n">
        <f aca="false">C78*(1-(G44/F44))</f>
        <v>4713.41174086512</v>
      </c>
      <c r="E78" s="118" t="n">
        <f aca="false">C78-D78</f>
        <v>9939.68175405237</v>
      </c>
      <c r="F78" s="118" t="n">
        <f aca="false">$B$10</f>
        <v>4035</v>
      </c>
      <c r="G78" s="118" t="n">
        <f aca="false">E78-F78</f>
        <v>5904.68175405237</v>
      </c>
      <c r="H78" s="118" t="n">
        <f aca="false">G78*12</f>
        <v>70856.1810486284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2026-04-27T18:46:24Z</dcterms:created>
  <dc:creator>openpyxl</dc:creator>
  <dc:description/>
  <dc:language>en-US</dc:language>
  <cp:lastModifiedBy/>
  <dcterms:modified xsi:type="dcterms:W3CDTF">2026-05-07T20:10:21Z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